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Data Analysis Projects\Bellabeat\"/>
    </mc:Choice>
  </mc:AlternateContent>
  <xr:revisionPtr revIDLastSave="0" documentId="13_ncr:1_{4129ED5A-610A-49EA-A9FC-40C5E7DB6DCA}" xr6:coauthVersionLast="47" xr6:coauthVersionMax="47" xr10:uidLastSave="{00000000-0000-0000-0000-000000000000}"/>
  <bookViews>
    <workbookView xWindow="-120" yWindow="-120" windowWidth="29040" windowHeight="15720" activeTab="3" xr2:uid="{1153763B-89AA-4311-ACF2-A5755591A45D}"/>
  </bookViews>
  <sheets>
    <sheet name="Fitness_Data" sheetId="1" r:id="rId1"/>
    <sheet name="Descriptive_Stats" sheetId="3" r:id="rId2"/>
    <sheet name="Activity_Level_Breakdown" sheetId="4" r:id="rId3"/>
    <sheet name="Distribution" sheetId="6" r:id="rId4"/>
    <sheet name="Weekend_vs_Weekday" sheetId="5" r:id="rId5"/>
  </sheets>
  <definedNames>
    <definedName name="_xlnm._FilterDatabase" localSheetId="0" hidden="1">Fitness_Data!$A$1:$T$1166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2" i="1"/>
  <c r="D61" i="1"/>
  <c r="D109" i="1"/>
  <c r="D157" i="1"/>
  <c r="D205" i="1"/>
  <c r="D253" i="1"/>
  <c r="D361" i="1"/>
  <c r="D385" i="1"/>
  <c r="D409" i="1"/>
  <c r="D433" i="1"/>
  <c r="D457" i="1"/>
  <c r="D493" i="1"/>
  <c r="D529" i="1"/>
  <c r="D565" i="1"/>
  <c r="D601" i="1"/>
  <c r="D637" i="1"/>
  <c r="D685" i="1"/>
  <c r="D733" i="1"/>
  <c r="D793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2" i="1"/>
  <c r="C3" i="1"/>
  <c r="D3" i="1" s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D37" i="1" s="1"/>
  <c r="C38" i="1"/>
  <c r="D38" i="1" s="1"/>
  <c r="C39" i="1"/>
  <c r="D39" i="1" s="1"/>
  <c r="C40" i="1"/>
  <c r="D40" i="1" s="1"/>
  <c r="C41" i="1"/>
  <c r="D41" i="1" s="1"/>
  <c r="C42" i="1"/>
  <c r="D42" i="1" s="1"/>
  <c r="C43" i="1"/>
  <c r="D43" i="1" s="1"/>
  <c r="C44" i="1"/>
  <c r="D44" i="1" s="1"/>
  <c r="C45" i="1"/>
  <c r="D45" i="1" s="1"/>
  <c r="C46" i="1"/>
  <c r="D46" i="1" s="1"/>
  <c r="C47" i="1"/>
  <c r="D47" i="1" s="1"/>
  <c r="C48" i="1"/>
  <c r="D48" i="1" s="1"/>
  <c r="C49" i="1"/>
  <c r="D49" i="1" s="1"/>
  <c r="C50" i="1"/>
  <c r="D50" i="1" s="1"/>
  <c r="C51" i="1"/>
  <c r="D51" i="1" s="1"/>
  <c r="C52" i="1"/>
  <c r="D52" i="1" s="1"/>
  <c r="C53" i="1"/>
  <c r="D53" i="1" s="1"/>
  <c r="C54" i="1"/>
  <c r="D54" i="1" s="1"/>
  <c r="C55" i="1"/>
  <c r="D55" i="1" s="1"/>
  <c r="C56" i="1"/>
  <c r="D56" i="1" s="1"/>
  <c r="C57" i="1"/>
  <c r="D57" i="1" s="1"/>
  <c r="C58" i="1"/>
  <c r="D58" i="1" s="1"/>
  <c r="C59" i="1"/>
  <c r="D59" i="1" s="1"/>
  <c r="C60" i="1"/>
  <c r="D60" i="1" s="1"/>
  <c r="C61" i="1"/>
  <c r="C62" i="1"/>
  <c r="D62" i="1" s="1"/>
  <c r="C63" i="1"/>
  <c r="D63" i="1" s="1"/>
  <c r="C64" i="1"/>
  <c r="D64" i="1" s="1"/>
  <c r="C65" i="1"/>
  <c r="D65" i="1" s="1"/>
  <c r="C66" i="1"/>
  <c r="D66" i="1" s="1"/>
  <c r="C67" i="1"/>
  <c r="D67" i="1" s="1"/>
  <c r="C68" i="1"/>
  <c r="D68" i="1" s="1"/>
  <c r="C69" i="1"/>
  <c r="D69" i="1" s="1"/>
  <c r="C70" i="1"/>
  <c r="D70" i="1" s="1"/>
  <c r="C71" i="1"/>
  <c r="D71" i="1" s="1"/>
  <c r="C72" i="1"/>
  <c r="D72" i="1" s="1"/>
  <c r="C73" i="1"/>
  <c r="D73" i="1" s="1"/>
  <c r="C74" i="1"/>
  <c r="D74" i="1" s="1"/>
  <c r="C75" i="1"/>
  <c r="D75" i="1" s="1"/>
  <c r="C76" i="1"/>
  <c r="D76" i="1" s="1"/>
  <c r="C77" i="1"/>
  <c r="D77" i="1" s="1"/>
  <c r="C78" i="1"/>
  <c r="D78" i="1" s="1"/>
  <c r="C79" i="1"/>
  <c r="D79" i="1" s="1"/>
  <c r="C80" i="1"/>
  <c r="D80" i="1" s="1"/>
  <c r="C81" i="1"/>
  <c r="D81" i="1" s="1"/>
  <c r="C82" i="1"/>
  <c r="D82" i="1" s="1"/>
  <c r="C83" i="1"/>
  <c r="D83" i="1" s="1"/>
  <c r="C84" i="1"/>
  <c r="D84" i="1" s="1"/>
  <c r="C85" i="1"/>
  <c r="D85" i="1" s="1"/>
  <c r="C86" i="1"/>
  <c r="D86" i="1" s="1"/>
  <c r="C87" i="1"/>
  <c r="D87" i="1" s="1"/>
  <c r="C88" i="1"/>
  <c r="D88" i="1" s="1"/>
  <c r="C89" i="1"/>
  <c r="D89" i="1" s="1"/>
  <c r="C90" i="1"/>
  <c r="D90" i="1" s="1"/>
  <c r="C91" i="1"/>
  <c r="D91" i="1" s="1"/>
  <c r="C92" i="1"/>
  <c r="D92" i="1" s="1"/>
  <c r="C93" i="1"/>
  <c r="D93" i="1" s="1"/>
  <c r="C94" i="1"/>
  <c r="D94" i="1" s="1"/>
  <c r="C95" i="1"/>
  <c r="D95" i="1" s="1"/>
  <c r="C96" i="1"/>
  <c r="D96" i="1" s="1"/>
  <c r="C97" i="1"/>
  <c r="D97" i="1" s="1"/>
  <c r="C98" i="1"/>
  <c r="D98" i="1" s="1"/>
  <c r="C99" i="1"/>
  <c r="D99" i="1" s="1"/>
  <c r="C100" i="1"/>
  <c r="D100" i="1" s="1"/>
  <c r="C101" i="1"/>
  <c r="D101" i="1" s="1"/>
  <c r="C102" i="1"/>
  <c r="D102" i="1" s="1"/>
  <c r="C103" i="1"/>
  <c r="D103" i="1" s="1"/>
  <c r="C104" i="1"/>
  <c r="D104" i="1" s="1"/>
  <c r="C105" i="1"/>
  <c r="D105" i="1" s="1"/>
  <c r="C106" i="1"/>
  <c r="D106" i="1" s="1"/>
  <c r="C107" i="1"/>
  <c r="D107" i="1" s="1"/>
  <c r="C108" i="1"/>
  <c r="D108" i="1" s="1"/>
  <c r="C109" i="1"/>
  <c r="C110" i="1"/>
  <c r="D110" i="1" s="1"/>
  <c r="C111" i="1"/>
  <c r="D111" i="1" s="1"/>
  <c r="C112" i="1"/>
  <c r="D112" i="1" s="1"/>
  <c r="C113" i="1"/>
  <c r="D113" i="1" s="1"/>
  <c r="C114" i="1"/>
  <c r="D114" i="1" s="1"/>
  <c r="C115" i="1"/>
  <c r="D115" i="1" s="1"/>
  <c r="C116" i="1"/>
  <c r="D116" i="1" s="1"/>
  <c r="C117" i="1"/>
  <c r="D117" i="1" s="1"/>
  <c r="C118" i="1"/>
  <c r="D118" i="1" s="1"/>
  <c r="C119" i="1"/>
  <c r="D119" i="1" s="1"/>
  <c r="C120" i="1"/>
  <c r="D120" i="1" s="1"/>
  <c r="C121" i="1"/>
  <c r="D121" i="1" s="1"/>
  <c r="C122" i="1"/>
  <c r="D122" i="1" s="1"/>
  <c r="C123" i="1"/>
  <c r="D123" i="1" s="1"/>
  <c r="C124" i="1"/>
  <c r="D124" i="1" s="1"/>
  <c r="C125" i="1"/>
  <c r="D125" i="1" s="1"/>
  <c r="C126" i="1"/>
  <c r="D126" i="1" s="1"/>
  <c r="C127" i="1"/>
  <c r="D127" i="1" s="1"/>
  <c r="C128" i="1"/>
  <c r="D128" i="1" s="1"/>
  <c r="C129" i="1"/>
  <c r="D129" i="1" s="1"/>
  <c r="C130" i="1"/>
  <c r="D130" i="1" s="1"/>
  <c r="C131" i="1"/>
  <c r="D131" i="1" s="1"/>
  <c r="C132" i="1"/>
  <c r="D132" i="1" s="1"/>
  <c r="C133" i="1"/>
  <c r="D133" i="1" s="1"/>
  <c r="C134" i="1"/>
  <c r="D134" i="1" s="1"/>
  <c r="C135" i="1"/>
  <c r="D135" i="1" s="1"/>
  <c r="C136" i="1"/>
  <c r="D136" i="1" s="1"/>
  <c r="C137" i="1"/>
  <c r="D137" i="1" s="1"/>
  <c r="C138" i="1"/>
  <c r="D138" i="1" s="1"/>
  <c r="C139" i="1"/>
  <c r="D139" i="1" s="1"/>
  <c r="C140" i="1"/>
  <c r="D140" i="1" s="1"/>
  <c r="C141" i="1"/>
  <c r="D141" i="1" s="1"/>
  <c r="C142" i="1"/>
  <c r="D142" i="1" s="1"/>
  <c r="C143" i="1"/>
  <c r="D143" i="1" s="1"/>
  <c r="C144" i="1"/>
  <c r="D144" i="1" s="1"/>
  <c r="C145" i="1"/>
  <c r="D145" i="1" s="1"/>
  <c r="C146" i="1"/>
  <c r="D146" i="1" s="1"/>
  <c r="C147" i="1"/>
  <c r="D147" i="1" s="1"/>
  <c r="C148" i="1"/>
  <c r="D148" i="1" s="1"/>
  <c r="C149" i="1"/>
  <c r="D149" i="1" s="1"/>
  <c r="C150" i="1"/>
  <c r="D150" i="1" s="1"/>
  <c r="C151" i="1"/>
  <c r="D151" i="1" s="1"/>
  <c r="C152" i="1"/>
  <c r="D152" i="1" s="1"/>
  <c r="C153" i="1"/>
  <c r="D153" i="1" s="1"/>
  <c r="C154" i="1"/>
  <c r="D154" i="1" s="1"/>
  <c r="C155" i="1"/>
  <c r="D155" i="1" s="1"/>
  <c r="C156" i="1"/>
  <c r="D156" i="1" s="1"/>
  <c r="C157" i="1"/>
  <c r="C158" i="1"/>
  <c r="D158" i="1" s="1"/>
  <c r="C159" i="1"/>
  <c r="D159" i="1" s="1"/>
  <c r="C160" i="1"/>
  <c r="D160" i="1" s="1"/>
  <c r="C161" i="1"/>
  <c r="D161" i="1" s="1"/>
  <c r="C162" i="1"/>
  <c r="D162" i="1" s="1"/>
  <c r="C163" i="1"/>
  <c r="D163" i="1" s="1"/>
  <c r="C164" i="1"/>
  <c r="D164" i="1" s="1"/>
  <c r="C165" i="1"/>
  <c r="D165" i="1" s="1"/>
  <c r="C166" i="1"/>
  <c r="D166" i="1" s="1"/>
  <c r="C167" i="1"/>
  <c r="D167" i="1" s="1"/>
  <c r="C168" i="1"/>
  <c r="D168" i="1" s="1"/>
  <c r="C169" i="1"/>
  <c r="D169" i="1" s="1"/>
  <c r="C170" i="1"/>
  <c r="D170" i="1" s="1"/>
  <c r="C171" i="1"/>
  <c r="D171" i="1" s="1"/>
  <c r="C172" i="1"/>
  <c r="D172" i="1" s="1"/>
  <c r="C173" i="1"/>
  <c r="D173" i="1" s="1"/>
  <c r="C174" i="1"/>
  <c r="D174" i="1" s="1"/>
  <c r="C175" i="1"/>
  <c r="D175" i="1" s="1"/>
  <c r="C176" i="1"/>
  <c r="D176" i="1" s="1"/>
  <c r="C177" i="1"/>
  <c r="D177" i="1" s="1"/>
  <c r="C178" i="1"/>
  <c r="D178" i="1" s="1"/>
  <c r="C179" i="1"/>
  <c r="D179" i="1" s="1"/>
  <c r="C180" i="1"/>
  <c r="D180" i="1" s="1"/>
  <c r="C181" i="1"/>
  <c r="D181" i="1" s="1"/>
  <c r="C182" i="1"/>
  <c r="D182" i="1" s="1"/>
  <c r="C183" i="1"/>
  <c r="D183" i="1" s="1"/>
  <c r="C184" i="1"/>
  <c r="D184" i="1" s="1"/>
  <c r="C185" i="1"/>
  <c r="D185" i="1" s="1"/>
  <c r="C186" i="1"/>
  <c r="D186" i="1" s="1"/>
  <c r="C187" i="1"/>
  <c r="D187" i="1" s="1"/>
  <c r="C188" i="1"/>
  <c r="D188" i="1" s="1"/>
  <c r="C189" i="1"/>
  <c r="D189" i="1" s="1"/>
  <c r="C190" i="1"/>
  <c r="D190" i="1" s="1"/>
  <c r="C191" i="1"/>
  <c r="D191" i="1" s="1"/>
  <c r="C192" i="1"/>
  <c r="D192" i="1" s="1"/>
  <c r="C193" i="1"/>
  <c r="D193" i="1" s="1"/>
  <c r="C194" i="1"/>
  <c r="D194" i="1" s="1"/>
  <c r="C195" i="1"/>
  <c r="D195" i="1" s="1"/>
  <c r="C196" i="1"/>
  <c r="D196" i="1" s="1"/>
  <c r="C197" i="1"/>
  <c r="D197" i="1" s="1"/>
  <c r="C198" i="1"/>
  <c r="D198" i="1" s="1"/>
  <c r="C199" i="1"/>
  <c r="D199" i="1" s="1"/>
  <c r="C200" i="1"/>
  <c r="D200" i="1" s="1"/>
  <c r="C201" i="1"/>
  <c r="D201" i="1" s="1"/>
  <c r="C202" i="1"/>
  <c r="D202" i="1" s="1"/>
  <c r="C203" i="1"/>
  <c r="D203" i="1" s="1"/>
  <c r="C204" i="1"/>
  <c r="D204" i="1" s="1"/>
  <c r="C205" i="1"/>
  <c r="C206" i="1"/>
  <c r="D206" i="1" s="1"/>
  <c r="C207" i="1"/>
  <c r="D207" i="1" s="1"/>
  <c r="C208" i="1"/>
  <c r="D208" i="1" s="1"/>
  <c r="C209" i="1"/>
  <c r="D209" i="1" s="1"/>
  <c r="C210" i="1"/>
  <c r="D210" i="1" s="1"/>
  <c r="C211" i="1"/>
  <c r="D211" i="1" s="1"/>
  <c r="C212" i="1"/>
  <c r="D212" i="1" s="1"/>
  <c r="C213" i="1"/>
  <c r="D213" i="1" s="1"/>
  <c r="C214" i="1"/>
  <c r="D214" i="1" s="1"/>
  <c r="C215" i="1"/>
  <c r="D215" i="1" s="1"/>
  <c r="C216" i="1"/>
  <c r="D216" i="1" s="1"/>
  <c r="C217" i="1"/>
  <c r="D217" i="1" s="1"/>
  <c r="C218" i="1"/>
  <c r="D218" i="1" s="1"/>
  <c r="C219" i="1"/>
  <c r="D219" i="1" s="1"/>
  <c r="C220" i="1"/>
  <c r="D220" i="1" s="1"/>
  <c r="C221" i="1"/>
  <c r="D221" i="1" s="1"/>
  <c r="C222" i="1"/>
  <c r="D222" i="1" s="1"/>
  <c r="C223" i="1"/>
  <c r="D223" i="1" s="1"/>
  <c r="C224" i="1"/>
  <c r="D224" i="1" s="1"/>
  <c r="C225" i="1"/>
  <c r="D225" i="1" s="1"/>
  <c r="C226" i="1"/>
  <c r="D226" i="1" s="1"/>
  <c r="C227" i="1"/>
  <c r="D227" i="1" s="1"/>
  <c r="C228" i="1"/>
  <c r="D228" i="1" s="1"/>
  <c r="C229" i="1"/>
  <c r="D229" i="1" s="1"/>
  <c r="C230" i="1"/>
  <c r="D230" i="1" s="1"/>
  <c r="C231" i="1"/>
  <c r="D231" i="1" s="1"/>
  <c r="C232" i="1"/>
  <c r="D232" i="1" s="1"/>
  <c r="C233" i="1"/>
  <c r="D233" i="1" s="1"/>
  <c r="C234" i="1"/>
  <c r="D234" i="1" s="1"/>
  <c r="C235" i="1"/>
  <c r="D235" i="1" s="1"/>
  <c r="C236" i="1"/>
  <c r="D236" i="1" s="1"/>
  <c r="C237" i="1"/>
  <c r="D237" i="1" s="1"/>
  <c r="C238" i="1"/>
  <c r="D238" i="1" s="1"/>
  <c r="C239" i="1"/>
  <c r="D239" i="1" s="1"/>
  <c r="C240" i="1"/>
  <c r="D240" i="1" s="1"/>
  <c r="C241" i="1"/>
  <c r="D241" i="1" s="1"/>
  <c r="C242" i="1"/>
  <c r="D242" i="1" s="1"/>
  <c r="C243" i="1"/>
  <c r="D243" i="1" s="1"/>
  <c r="C244" i="1"/>
  <c r="D244" i="1" s="1"/>
  <c r="C245" i="1"/>
  <c r="D245" i="1" s="1"/>
  <c r="C246" i="1"/>
  <c r="D246" i="1" s="1"/>
  <c r="C247" i="1"/>
  <c r="D247" i="1" s="1"/>
  <c r="C248" i="1"/>
  <c r="D248" i="1" s="1"/>
  <c r="C249" i="1"/>
  <c r="D249" i="1" s="1"/>
  <c r="C250" i="1"/>
  <c r="D250" i="1" s="1"/>
  <c r="C251" i="1"/>
  <c r="D251" i="1" s="1"/>
  <c r="C252" i="1"/>
  <c r="D252" i="1" s="1"/>
  <c r="C253" i="1"/>
  <c r="C254" i="1"/>
  <c r="D254" i="1" s="1"/>
  <c r="C255" i="1"/>
  <c r="D255" i="1" s="1"/>
  <c r="C256" i="1"/>
  <c r="D256" i="1" s="1"/>
  <c r="C257" i="1"/>
  <c r="D257" i="1" s="1"/>
  <c r="C258" i="1"/>
  <c r="D258" i="1" s="1"/>
  <c r="C259" i="1"/>
  <c r="D259" i="1" s="1"/>
  <c r="C260" i="1"/>
  <c r="D260" i="1" s="1"/>
  <c r="C261" i="1"/>
  <c r="D261" i="1" s="1"/>
  <c r="C262" i="1"/>
  <c r="D262" i="1" s="1"/>
  <c r="C263" i="1"/>
  <c r="D263" i="1" s="1"/>
  <c r="C264" i="1"/>
  <c r="D264" i="1" s="1"/>
  <c r="C265" i="1"/>
  <c r="D265" i="1" s="1"/>
  <c r="C266" i="1"/>
  <c r="D266" i="1" s="1"/>
  <c r="C267" i="1"/>
  <c r="D267" i="1" s="1"/>
  <c r="C268" i="1"/>
  <c r="D268" i="1" s="1"/>
  <c r="C269" i="1"/>
  <c r="D269" i="1" s="1"/>
  <c r="C270" i="1"/>
  <c r="D270" i="1" s="1"/>
  <c r="C271" i="1"/>
  <c r="D271" i="1" s="1"/>
  <c r="C272" i="1"/>
  <c r="D272" i="1" s="1"/>
  <c r="C273" i="1"/>
  <c r="D273" i="1" s="1"/>
  <c r="C274" i="1"/>
  <c r="D274" i="1" s="1"/>
  <c r="C275" i="1"/>
  <c r="D275" i="1" s="1"/>
  <c r="C276" i="1"/>
  <c r="D276" i="1" s="1"/>
  <c r="C277" i="1"/>
  <c r="D277" i="1" s="1"/>
  <c r="C278" i="1"/>
  <c r="D278" i="1" s="1"/>
  <c r="C279" i="1"/>
  <c r="D279" i="1" s="1"/>
  <c r="C280" i="1"/>
  <c r="D280" i="1" s="1"/>
  <c r="C281" i="1"/>
  <c r="D281" i="1" s="1"/>
  <c r="C282" i="1"/>
  <c r="D282" i="1" s="1"/>
  <c r="C283" i="1"/>
  <c r="D283" i="1" s="1"/>
  <c r="C284" i="1"/>
  <c r="D284" i="1" s="1"/>
  <c r="C285" i="1"/>
  <c r="D285" i="1" s="1"/>
  <c r="C286" i="1"/>
  <c r="D286" i="1" s="1"/>
  <c r="C287" i="1"/>
  <c r="D287" i="1" s="1"/>
  <c r="C288" i="1"/>
  <c r="D288" i="1" s="1"/>
  <c r="C289" i="1"/>
  <c r="D289" i="1" s="1"/>
  <c r="C290" i="1"/>
  <c r="D290" i="1" s="1"/>
  <c r="C291" i="1"/>
  <c r="D291" i="1" s="1"/>
  <c r="C292" i="1"/>
  <c r="D292" i="1" s="1"/>
  <c r="C293" i="1"/>
  <c r="D293" i="1" s="1"/>
  <c r="C294" i="1"/>
  <c r="D294" i="1" s="1"/>
  <c r="C295" i="1"/>
  <c r="D295" i="1" s="1"/>
  <c r="C296" i="1"/>
  <c r="D296" i="1" s="1"/>
  <c r="C297" i="1"/>
  <c r="D297" i="1" s="1"/>
  <c r="C298" i="1"/>
  <c r="D298" i="1" s="1"/>
  <c r="C299" i="1"/>
  <c r="D299" i="1" s="1"/>
  <c r="C300" i="1"/>
  <c r="D300" i="1" s="1"/>
  <c r="C301" i="1"/>
  <c r="D301" i="1" s="1"/>
  <c r="C302" i="1"/>
  <c r="D302" i="1" s="1"/>
  <c r="C303" i="1"/>
  <c r="D303" i="1" s="1"/>
  <c r="C304" i="1"/>
  <c r="D304" i="1" s="1"/>
  <c r="C305" i="1"/>
  <c r="D305" i="1" s="1"/>
  <c r="C306" i="1"/>
  <c r="D306" i="1" s="1"/>
  <c r="C307" i="1"/>
  <c r="D307" i="1" s="1"/>
  <c r="C308" i="1"/>
  <c r="D308" i="1" s="1"/>
  <c r="C309" i="1"/>
  <c r="D309" i="1" s="1"/>
  <c r="C310" i="1"/>
  <c r="D310" i="1" s="1"/>
  <c r="C311" i="1"/>
  <c r="D311" i="1" s="1"/>
  <c r="C312" i="1"/>
  <c r="D312" i="1" s="1"/>
  <c r="C313" i="1"/>
  <c r="D313" i="1" s="1"/>
  <c r="C314" i="1"/>
  <c r="D314" i="1" s="1"/>
  <c r="C315" i="1"/>
  <c r="D315" i="1" s="1"/>
  <c r="C316" i="1"/>
  <c r="D316" i="1" s="1"/>
  <c r="C317" i="1"/>
  <c r="D317" i="1" s="1"/>
  <c r="C318" i="1"/>
  <c r="D318" i="1" s="1"/>
  <c r="C319" i="1"/>
  <c r="D319" i="1" s="1"/>
  <c r="C320" i="1"/>
  <c r="D320" i="1" s="1"/>
  <c r="C321" i="1"/>
  <c r="D321" i="1" s="1"/>
  <c r="C322" i="1"/>
  <c r="D322" i="1" s="1"/>
  <c r="C323" i="1"/>
  <c r="D323" i="1" s="1"/>
  <c r="C324" i="1"/>
  <c r="D324" i="1" s="1"/>
  <c r="C325" i="1"/>
  <c r="D325" i="1" s="1"/>
  <c r="C326" i="1"/>
  <c r="D326" i="1" s="1"/>
  <c r="C327" i="1"/>
  <c r="D327" i="1" s="1"/>
  <c r="C328" i="1"/>
  <c r="D328" i="1" s="1"/>
  <c r="C329" i="1"/>
  <c r="D329" i="1" s="1"/>
  <c r="C330" i="1"/>
  <c r="D330" i="1" s="1"/>
  <c r="C331" i="1"/>
  <c r="D331" i="1" s="1"/>
  <c r="C332" i="1"/>
  <c r="D332" i="1" s="1"/>
  <c r="C333" i="1"/>
  <c r="D333" i="1" s="1"/>
  <c r="C334" i="1"/>
  <c r="D334" i="1" s="1"/>
  <c r="C335" i="1"/>
  <c r="D335" i="1" s="1"/>
  <c r="C336" i="1"/>
  <c r="D336" i="1" s="1"/>
  <c r="C337" i="1"/>
  <c r="D337" i="1" s="1"/>
  <c r="C338" i="1"/>
  <c r="D338" i="1" s="1"/>
  <c r="C339" i="1"/>
  <c r="D339" i="1" s="1"/>
  <c r="C340" i="1"/>
  <c r="D340" i="1" s="1"/>
  <c r="C341" i="1"/>
  <c r="D341" i="1" s="1"/>
  <c r="C342" i="1"/>
  <c r="D342" i="1" s="1"/>
  <c r="C343" i="1"/>
  <c r="D343" i="1" s="1"/>
  <c r="C344" i="1"/>
  <c r="D344" i="1" s="1"/>
  <c r="C345" i="1"/>
  <c r="D345" i="1" s="1"/>
  <c r="C346" i="1"/>
  <c r="D346" i="1" s="1"/>
  <c r="C347" i="1"/>
  <c r="D347" i="1" s="1"/>
  <c r="C348" i="1"/>
  <c r="D348" i="1" s="1"/>
  <c r="C349" i="1"/>
  <c r="D349" i="1" s="1"/>
  <c r="C350" i="1"/>
  <c r="D350" i="1" s="1"/>
  <c r="C351" i="1"/>
  <c r="D351" i="1" s="1"/>
  <c r="C352" i="1"/>
  <c r="D352" i="1" s="1"/>
  <c r="C353" i="1"/>
  <c r="D353" i="1" s="1"/>
  <c r="C354" i="1"/>
  <c r="D354" i="1" s="1"/>
  <c r="C355" i="1"/>
  <c r="D355" i="1" s="1"/>
  <c r="C356" i="1"/>
  <c r="D356" i="1" s="1"/>
  <c r="C357" i="1"/>
  <c r="D357" i="1" s="1"/>
  <c r="C358" i="1"/>
  <c r="D358" i="1" s="1"/>
  <c r="C359" i="1"/>
  <c r="D359" i="1" s="1"/>
  <c r="C360" i="1"/>
  <c r="D360" i="1" s="1"/>
  <c r="C361" i="1"/>
  <c r="C362" i="1"/>
  <c r="D362" i="1" s="1"/>
  <c r="C363" i="1"/>
  <c r="D363" i="1" s="1"/>
  <c r="C364" i="1"/>
  <c r="D364" i="1" s="1"/>
  <c r="C365" i="1"/>
  <c r="D365" i="1" s="1"/>
  <c r="C366" i="1"/>
  <c r="D366" i="1" s="1"/>
  <c r="C367" i="1"/>
  <c r="D367" i="1" s="1"/>
  <c r="C368" i="1"/>
  <c r="D368" i="1" s="1"/>
  <c r="C369" i="1"/>
  <c r="D369" i="1" s="1"/>
  <c r="C370" i="1"/>
  <c r="D370" i="1" s="1"/>
  <c r="C371" i="1"/>
  <c r="D371" i="1" s="1"/>
  <c r="C372" i="1"/>
  <c r="D372" i="1" s="1"/>
  <c r="C373" i="1"/>
  <c r="D373" i="1" s="1"/>
  <c r="C374" i="1"/>
  <c r="D374" i="1" s="1"/>
  <c r="C375" i="1"/>
  <c r="D375" i="1" s="1"/>
  <c r="C376" i="1"/>
  <c r="D376" i="1" s="1"/>
  <c r="C377" i="1"/>
  <c r="D377" i="1" s="1"/>
  <c r="C378" i="1"/>
  <c r="D378" i="1" s="1"/>
  <c r="C379" i="1"/>
  <c r="D379" i="1" s="1"/>
  <c r="C380" i="1"/>
  <c r="D380" i="1" s="1"/>
  <c r="C381" i="1"/>
  <c r="D381" i="1" s="1"/>
  <c r="C382" i="1"/>
  <c r="D382" i="1" s="1"/>
  <c r="C383" i="1"/>
  <c r="D383" i="1" s="1"/>
  <c r="C384" i="1"/>
  <c r="D384" i="1" s="1"/>
  <c r="C385" i="1"/>
  <c r="C386" i="1"/>
  <c r="D386" i="1" s="1"/>
  <c r="C387" i="1"/>
  <c r="D387" i="1" s="1"/>
  <c r="C388" i="1"/>
  <c r="D388" i="1" s="1"/>
  <c r="C389" i="1"/>
  <c r="D389" i="1" s="1"/>
  <c r="C390" i="1"/>
  <c r="D390" i="1" s="1"/>
  <c r="C391" i="1"/>
  <c r="D391" i="1" s="1"/>
  <c r="C392" i="1"/>
  <c r="D392" i="1" s="1"/>
  <c r="C393" i="1"/>
  <c r="D393" i="1" s="1"/>
  <c r="C394" i="1"/>
  <c r="D394" i="1" s="1"/>
  <c r="C395" i="1"/>
  <c r="D395" i="1" s="1"/>
  <c r="C396" i="1"/>
  <c r="D396" i="1" s="1"/>
  <c r="C397" i="1"/>
  <c r="D397" i="1" s="1"/>
  <c r="C398" i="1"/>
  <c r="D398" i="1" s="1"/>
  <c r="C399" i="1"/>
  <c r="D399" i="1" s="1"/>
  <c r="C400" i="1"/>
  <c r="D400" i="1" s="1"/>
  <c r="C401" i="1"/>
  <c r="D401" i="1" s="1"/>
  <c r="C402" i="1"/>
  <c r="D402" i="1" s="1"/>
  <c r="C403" i="1"/>
  <c r="D403" i="1" s="1"/>
  <c r="C404" i="1"/>
  <c r="D404" i="1" s="1"/>
  <c r="C405" i="1"/>
  <c r="D405" i="1" s="1"/>
  <c r="C406" i="1"/>
  <c r="D406" i="1" s="1"/>
  <c r="C407" i="1"/>
  <c r="D407" i="1" s="1"/>
  <c r="C408" i="1"/>
  <c r="D408" i="1" s="1"/>
  <c r="C409" i="1"/>
  <c r="C410" i="1"/>
  <c r="D410" i="1" s="1"/>
  <c r="C411" i="1"/>
  <c r="D411" i="1" s="1"/>
  <c r="C412" i="1"/>
  <c r="D412" i="1" s="1"/>
  <c r="C413" i="1"/>
  <c r="D413" i="1" s="1"/>
  <c r="C414" i="1"/>
  <c r="D414" i="1" s="1"/>
  <c r="C415" i="1"/>
  <c r="D415" i="1" s="1"/>
  <c r="C416" i="1"/>
  <c r="D416" i="1" s="1"/>
  <c r="C417" i="1"/>
  <c r="D417" i="1" s="1"/>
  <c r="C418" i="1"/>
  <c r="D418" i="1" s="1"/>
  <c r="C419" i="1"/>
  <c r="D419" i="1" s="1"/>
  <c r="C420" i="1"/>
  <c r="D420" i="1" s="1"/>
  <c r="C421" i="1"/>
  <c r="D421" i="1" s="1"/>
  <c r="C422" i="1"/>
  <c r="D422" i="1" s="1"/>
  <c r="C423" i="1"/>
  <c r="D423" i="1" s="1"/>
  <c r="C424" i="1"/>
  <c r="D424" i="1" s="1"/>
  <c r="C425" i="1"/>
  <c r="D425" i="1" s="1"/>
  <c r="C426" i="1"/>
  <c r="D426" i="1" s="1"/>
  <c r="C427" i="1"/>
  <c r="D427" i="1" s="1"/>
  <c r="C428" i="1"/>
  <c r="D428" i="1" s="1"/>
  <c r="C429" i="1"/>
  <c r="D429" i="1" s="1"/>
  <c r="C430" i="1"/>
  <c r="D430" i="1" s="1"/>
  <c r="C431" i="1"/>
  <c r="D431" i="1" s="1"/>
  <c r="C432" i="1"/>
  <c r="D432" i="1" s="1"/>
  <c r="C433" i="1"/>
  <c r="C434" i="1"/>
  <c r="D434" i="1" s="1"/>
  <c r="C435" i="1"/>
  <c r="D435" i="1" s="1"/>
  <c r="C436" i="1"/>
  <c r="D436" i="1" s="1"/>
  <c r="C437" i="1"/>
  <c r="D437" i="1" s="1"/>
  <c r="C438" i="1"/>
  <c r="D438" i="1" s="1"/>
  <c r="C439" i="1"/>
  <c r="D439" i="1" s="1"/>
  <c r="C440" i="1"/>
  <c r="D440" i="1" s="1"/>
  <c r="C441" i="1"/>
  <c r="D441" i="1" s="1"/>
  <c r="C442" i="1"/>
  <c r="D442" i="1" s="1"/>
  <c r="C443" i="1"/>
  <c r="D443" i="1" s="1"/>
  <c r="C444" i="1"/>
  <c r="D444" i="1" s="1"/>
  <c r="C445" i="1"/>
  <c r="D445" i="1" s="1"/>
  <c r="C446" i="1"/>
  <c r="D446" i="1" s="1"/>
  <c r="C447" i="1"/>
  <c r="D447" i="1" s="1"/>
  <c r="C448" i="1"/>
  <c r="D448" i="1" s="1"/>
  <c r="C449" i="1"/>
  <c r="D449" i="1" s="1"/>
  <c r="C450" i="1"/>
  <c r="D450" i="1" s="1"/>
  <c r="C451" i="1"/>
  <c r="D451" i="1" s="1"/>
  <c r="C452" i="1"/>
  <c r="D452" i="1" s="1"/>
  <c r="C453" i="1"/>
  <c r="D453" i="1" s="1"/>
  <c r="C454" i="1"/>
  <c r="D454" i="1" s="1"/>
  <c r="C455" i="1"/>
  <c r="D455" i="1" s="1"/>
  <c r="C456" i="1"/>
  <c r="D456" i="1" s="1"/>
  <c r="C457" i="1"/>
  <c r="C458" i="1"/>
  <c r="D458" i="1" s="1"/>
  <c r="C459" i="1"/>
  <c r="D459" i="1" s="1"/>
  <c r="C460" i="1"/>
  <c r="D460" i="1" s="1"/>
  <c r="C461" i="1"/>
  <c r="D461" i="1" s="1"/>
  <c r="C462" i="1"/>
  <c r="D462" i="1" s="1"/>
  <c r="C463" i="1"/>
  <c r="D463" i="1" s="1"/>
  <c r="C464" i="1"/>
  <c r="D464" i="1" s="1"/>
  <c r="C465" i="1"/>
  <c r="D465" i="1" s="1"/>
  <c r="C466" i="1"/>
  <c r="D466" i="1" s="1"/>
  <c r="C467" i="1"/>
  <c r="D467" i="1" s="1"/>
  <c r="C468" i="1"/>
  <c r="D468" i="1" s="1"/>
  <c r="C469" i="1"/>
  <c r="D469" i="1" s="1"/>
  <c r="C470" i="1"/>
  <c r="D470" i="1" s="1"/>
  <c r="C471" i="1"/>
  <c r="D471" i="1" s="1"/>
  <c r="C472" i="1"/>
  <c r="D472" i="1" s="1"/>
  <c r="C473" i="1"/>
  <c r="D473" i="1" s="1"/>
  <c r="C474" i="1"/>
  <c r="D474" i="1" s="1"/>
  <c r="C475" i="1"/>
  <c r="D475" i="1" s="1"/>
  <c r="C476" i="1"/>
  <c r="D476" i="1" s="1"/>
  <c r="C477" i="1"/>
  <c r="D477" i="1" s="1"/>
  <c r="C478" i="1"/>
  <c r="D478" i="1" s="1"/>
  <c r="C479" i="1"/>
  <c r="D479" i="1" s="1"/>
  <c r="C480" i="1"/>
  <c r="D480" i="1" s="1"/>
  <c r="C481" i="1"/>
  <c r="D481" i="1" s="1"/>
  <c r="C482" i="1"/>
  <c r="D482" i="1" s="1"/>
  <c r="C483" i="1"/>
  <c r="D483" i="1" s="1"/>
  <c r="C484" i="1"/>
  <c r="D484" i="1" s="1"/>
  <c r="C485" i="1"/>
  <c r="D485" i="1" s="1"/>
  <c r="C486" i="1"/>
  <c r="D486" i="1" s="1"/>
  <c r="C487" i="1"/>
  <c r="D487" i="1" s="1"/>
  <c r="C488" i="1"/>
  <c r="D488" i="1" s="1"/>
  <c r="C489" i="1"/>
  <c r="D489" i="1" s="1"/>
  <c r="C490" i="1"/>
  <c r="D490" i="1" s="1"/>
  <c r="C491" i="1"/>
  <c r="D491" i="1" s="1"/>
  <c r="C492" i="1"/>
  <c r="D492" i="1" s="1"/>
  <c r="C493" i="1"/>
  <c r="C494" i="1"/>
  <c r="D494" i="1" s="1"/>
  <c r="C495" i="1"/>
  <c r="D495" i="1" s="1"/>
  <c r="C496" i="1"/>
  <c r="D496" i="1" s="1"/>
  <c r="C497" i="1"/>
  <c r="D497" i="1" s="1"/>
  <c r="C498" i="1"/>
  <c r="D498" i="1" s="1"/>
  <c r="C499" i="1"/>
  <c r="D499" i="1" s="1"/>
  <c r="C500" i="1"/>
  <c r="D500" i="1" s="1"/>
  <c r="C501" i="1"/>
  <c r="D501" i="1" s="1"/>
  <c r="C502" i="1"/>
  <c r="D502" i="1" s="1"/>
  <c r="C503" i="1"/>
  <c r="D503" i="1" s="1"/>
  <c r="C504" i="1"/>
  <c r="D504" i="1" s="1"/>
  <c r="C505" i="1"/>
  <c r="D505" i="1" s="1"/>
  <c r="C506" i="1"/>
  <c r="D506" i="1" s="1"/>
  <c r="C507" i="1"/>
  <c r="D507" i="1" s="1"/>
  <c r="C508" i="1"/>
  <c r="D508" i="1" s="1"/>
  <c r="C509" i="1"/>
  <c r="D509" i="1" s="1"/>
  <c r="C510" i="1"/>
  <c r="D510" i="1" s="1"/>
  <c r="C511" i="1"/>
  <c r="D511" i="1" s="1"/>
  <c r="C512" i="1"/>
  <c r="D512" i="1" s="1"/>
  <c r="C513" i="1"/>
  <c r="D513" i="1" s="1"/>
  <c r="C514" i="1"/>
  <c r="D514" i="1" s="1"/>
  <c r="C515" i="1"/>
  <c r="D515" i="1" s="1"/>
  <c r="C516" i="1"/>
  <c r="D516" i="1" s="1"/>
  <c r="C517" i="1"/>
  <c r="D517" i="1" s="1"/>
  <c r="C518" i="1"/>
  <c r="D518" i="1" s="1"/>
  <c r="C519" i="1"/>
  <c r="D519" i="1" s="1"/>
  <c r="C520" i="1"/>
  <c r="D520" i="1" s="1"/>
  <c r="C521" i="1"/>
  <c r="D521" i="1" s="1"/>
  <c r="C522" i="1"/>
  <c r="D522" i="1" s="1"/>
  <c r="C523" i="1"/>
  <c r="D523" i="1" s="1"/>
  <c r="C524" i="1"/>
  <c r="D524" i="1" s="1"/>
  <c r="C525" i="1"/>
  <c r="D525" i="1" s="1"/>
  <c r="C526" i="1"/>
  <c r="D526" i="1" s="1"/>
  <c r="C527" i="1"/>
  <c r="D527" i="1" s="1"/>
  <c r="C528" i="1"/>
  <c r="D528" i="1" s="1"/>
  <c r="C529" i="1"/>
  <c r="C530" i="1"/>
  <c r="D530" i="1" s="1"/>
  <c r="C531" i="1"/>
  <c r="D531" i="1" s="1"/>
  <c r="C532" i="1"/>
  <c r="D532" i="1" s="1"/>
  <c r="C533" i="1"/>
  <c r="D533" i="1" s="1"/>
  <c r="C534" i="1"/>
  <c r="D534" i="1" s="1"/>
  <c r="C535" i="1"/>
  <c r="D535" i="1" s="1"/>
  <c r="C536" i="1"/>
  <c r="D536" i="1" s="1"/>
  <c r="C537" i="1"/>
  <c r="D537" i="1" s="1"/>
  <c r="C538" i="1"/>
  <c r="D538" i="1" s="1"/>
  <c r="C539" i="1"/>
  <c r="D539" i="1" s="1"/>
  <c r="C540" i="1"/>
  <c r="D540" i="1" s="1"/>
  <c r="C541" i="1"/>
  <c r="D541" i="1" s="1"/>
  <c r="C542" i="1"/>
  <c r="D542" i="1" s="1"/>
  <c r="C543" i="1"/>
  <c r="D543" i="1" s="1"/>
  <c r="C544" i="1"/>
  <c r="D544" i="1" s="1"/>
  <c r="C545" i="1"/>
  <c r="D545" i="1" s="1"/>
  <c r="C546" i="1"/>
  <c r="D546" i="1" s="1"/>
  <c r="C547" i="1"/>
  <c r="D547" i="1" s="1"/>
  <c r="C548" i="1"/>
  <c r="D548" i="1" s="1"/>
  <c r="C549" i="1"/>
  <c r="D549" i="1" s="1"/>
  <c r="C550" i="1"/>
  <c r="D550" i="1" s="1"/>
  <c r="C551" i="1"/>
  <c r="D551" i="1" s="1"/>
  <c r="C552" i="1"/>
  <c r="D552" i="1" s="1"/>
  <c r="C553" i="1"/>
  <c r="D553" i="1" s="1"/>
  <c r="C554" i="1"/>
  <c r="D554" i="1" s="1"/>
  <c r="C555" i="1"/>
  <c r="D555" i="1" s="1"/>
  <c r="C556" i="1"/>
  <c r="D556" i="1" s="1"/>
  <c r="C557" i="1"/>
  <c r="D557" i="1" s="1"/>
  <c r="C558" i="1"/>
  <c r="D558" i="1" s="1"/>
  <c r="C559" i="1"/>
  <c r="D559" i="1" s="1"/>
  <c r="C560" i="1"/>
  <c r="D560" i="1" s="1"/>
  <c r="C561" i="1"/>
  <c r="D561" i="1" s="1"/>
  <c r="C562" i="1"/>
  <c r="D562" i="1" s="1"/>
  <c r="C563" i="1"/>
  <c r="D563" i="1" s="1"/>
  <c r="C564" i="1"/>
  <c r="D564" i="1" s="1"/>
  <c r="C565" i="1"/>
  <c r="C566" i="1"/>
  <c r="D566" i="1" s="1"/>
  <c r="C567" i="1"/>
  <c r="D567" i="1" s="1"/>
  <c r="C568" i="1"/>
  <c r="D568" i="1" s="1"/>
  <c r="C569" i="1"/>
  <c r="D569" i="1" s="1"/>
  <c r="C570" i="1"/>
  <c r="D570" i="1" s="1"/>
  <c r="C571" i="1"/>
  <c r="D571" i="1" s="1"/>
  <c r="C572" i="1"/>
  <c r="D572" i="1" s="1"/>
  <c r="C573" i="1"/>
  <c r="D573" i="1" s="1"/>
  <c r="C574" i="1"/>
  <c r="D574" i="1" s="1"/>
  <c r="C575" i="1"/>
  <c r="D575" i="1" s="1"/>
  <c r="C576" i="1"/>
  <c r="D576" i="1" s="1"/>
  <c r="C577" i="1"/>
  <c r="D577" i="1" s="1"/>
  <c r="C578" i="1"/>
  <c r="D578" i="1" s="1"/>
  <c r="C579" i="1"/>
  <c r="D579" i="1" s="1"/>
  <c r="C580" i="1"/>
  <c r="D580" i="1" s="1"/>
  <c r="C581" i="1"/>
  <c r="D581" i="1" s="1"/>
  <c r="C582" i="1"/>
  <c r="D582" i="1" s="1"/>
  <c r="C583" i="1"/>
  <c r="D583" i="1" s="1"/>
  <c r="C584" i="1"/>
  <c r="D584" i="1" s="1"/>
  <c r="C585" i="1"/>
  <c r="D585" i="1" s="1"/>
  <c r="C586" i="1"/>
  <c r="D586" i="1" s="1"/>
  <c r="C587" i="1"/>
  <c r="D587" i="1" s="1"/>
  <c r="C588" i="1"/>
  <c r="D588" i="1" s="1"/>
  <c r="C589" i="1"/>
  <c r="D589" i="1" s="1"/>
  <c r="C590" i="1"/>
  <c r="D590" i="1" s="1"/>
  <c r="C591" i="1"/>
  <c r="D591" i="1" s="1"/>
  <c r="C592" i="1"/>
  <c r="D592" i="1" s="1"/>
  <c r="C593" i="1"/>
  <c r="D593" i="1" s="1"/>
  <c r="C594" i="1"/>
  <c r="D594" i="1" s="1"/>
  <c r="C595" i="1"/>
  <c r="D595" i="1" s="1"/>
  <c r="C596" i="1"/>
  <c r="D596" i="1" s="1"/>
  <c r="C597" i="1"/>
  <c r="D597" i="1" s="1"/>
  <c r="C598" i="1"/>
  <c r="D598" i="1" s="1"/>
  <c r="C599" i="1"/>
  <c r="D599" i="1" s="1"/>
  <c r="C600" i="1"/>
  <c r="D600" i="1" s="1"/>
  <c r="C601" i="1"/>
  <c r="C602" i="1"/>
  <c r="D602" i="1" s="1"/>
  <c r="C603" i="1"/>
  <c r="D603" i="1" s="1"/>
  <c r="C604" i="1"/>
  <c r="D604" i="1" s="1"/>
  <c r="C605" i="1"/>
  <c r="D605" i="1" s="1"/>
  <c r="C606" i="1"/>
  <c r="D606" i="1" s="1"/>
  <c r="C607" i="1"/>
  <c r="D607" i="1" s="1"/>
  <c r="C608" i="1"/>
  <c r="D608" i="1" s="1"/>
  <c r="C609" i="1"/>
  <c r="D609" i="1" s="1"/>
  <c r="C610" i="1"/>
  <c r="D610" i="1" s="1"/>
  <c r="C611" i="1"/>
  <c r="D611" i="1" s="1"/>
  <c r="C612" i="1"/>
  <c r="D612" i="1" s="1"/>
  <c r="C613" i="1"/>
  <c r="D613" i="1" s="1"/>
  <c r="C614" i="1"/>
  <c r="D614" i="1" s="1"/>
  <c r="C615" i="1"/>
  <c r="D615" i="1" s="1"/>
  <c r="C616" i="1"/>
  <c r="D616" i="1" s="1"/>
  <c r="C617" i="1"/>
  <c r="D617" i="1" s="1"/>
  <c r="C618" i="1"/>
  <c r="D618" i="1" s="1"/>
  <c r="C619" i="1"/>
  <c r="D619" i="1" s="1"/>
  <c r="C620" i="1"/>
  <c r="D620" i="1" s="1"/>
  <c r="C621" i="1"/>
  <c r="D621" i="1" s="1"/>
  <c r="C622" i="1"/>
  <c r="D622" i="1" s="1"/>
  <c r="C623" i="1"/>
  <c r="D623" i="1" s="1"/>
  <c r="C624" i="1"/>
  <c r="D624" i="1" s="1"/>
  <c r="C625" i="1"/>
  <c r="D625" i="1" s="1"/>
  <c r="C626" i="1"/>
  <c r="D626" i="1" s="1"/>
  <c r="C627" i="1"/>
  <c r="D627" i="1" s="1"/>
  <c r="C628" i="1"/>
  <c r="D628" i="1" s="1"/>
  <c r="C629" i="1"/>
  <c r="D629" i="1" s="1"/>
  <c r="C630" i="1"/>
  <c r="D630" i="1" s="1"/>
  <c r="C631" i="1"/>
  <c r="D631" i="1" s="1"/>
  <c r="C632" i="1"/>
  <c r="D632" i="1" s="1"/>
  <c r="C633" i="1"/>
  <c r="D633" i="1" s="1"/>
  <c r="C634" i="1"/>
  <c r="D634" i="1" s="1"/>
  <c r="C635" i="1"/>
  <c r="D635" i="1" s="1"/>
  <c r="C636" i="1"/>
  <c r="D636" i="1" s="1"/>
  <c r="C637" i="1"/>
  <c r="C638" i="1"/>
  <c r="D638" i="1" s="1"/>
  <c r="C639" i="1"/>
  <c r="D639" i="1" s="1"/>
  <c r="C640" i="1"/>
  <c r="D640" i="1" s="1"/>
  <c r="C641" i="1"/>
  <c r="D641" i="1" s="1"/>
  <c r="C642" i="1"/>
  <c r="D642" i="1" s="1"/>
  <c r="C643" i="1"/>
  <c r="D643" i="1" s="1"/>
  <c r="C644" i="1"/>
  <c r="D644" i="1" s="1"/>
  <c r="C645" i="1"/>
  <c r="D645" i="1" s="1"/>
  <c r="C646" i="1"/>
  <c r="D646" i="1" s="1"/>
  <c r="C647" i="1"/>
  <c r="D647" i="1" s="1"/>
  <c r="C648" i="1"/>
  <c r="D648" i="1" s="1"/>
  <c r="C649" i="1"/>
  <c r="D649" i="1" s="1"/>
  <c r="C650" i="1"/>
  <c r="D650" i="1" s="1"/>
  <c r="C651" i="1"/>
  <c r="D651" i="1" s="1"/>
  <c r="C652" i="1"/>
  <c r="D652" i="1" s="1"/>
  <c r="C653" i="1"/>
  <c r="D653" i="1" s="1"/>
  <c r="C654" i="1"/>
  <c r="D654" i="1" s="1"/>
  <c r="C655" i="1"/>
  <c r="D655" i="1" s="1"/>
  <c r="C656" i="1"/>
  <c r="D656" i="1" s="1"/>
  <c r="C657" i="1"/>
  <c r="D657" i="1" s="1"/>
  <c r="C658" i="1"/>
  <c r="D658" i="1" s="1"/>
  <c r="C659" i="1"/>
  <c r="D659" i="1" s="1"/>
  <c r="C660" i="1"/>
  <c r="D660" i="1" s="1"/>
  <c r="C661" i="1"/>
  <c r="D661" i="1" s="1"/>
  <c r="C662" i="1"/>
  <c r="D662" i="1" s="1"/>
  <c r="C663" i="1"/>
  <c r="D663" i="1" s="1"/>
  <c r="C664" i="1"/>
  <c r="D664" i="1" s="1"/>
  <c r="C665" i="1"/>
  <c r="D665" i="1" s="1"/>
  <c r="C666" i="1"/>
  <c r="D666" i="1" s="1"/>
  <c r="C667" i="1"/>
  <c r="D667" i="1" s="1"/>
  <c r="C668" i="1"/>
  <c r="D668" i="1" s="1"/>
  <c r="C669" i="1"/>
  <c r="D669" i="1" s="1"/>
  <c r="C670" i="1"/>
  <c r="D670" i="1" s="1"/>
  <c r="C671" i="1"/>
  <c r="D671" i="1" s="1"/>
  <c r="C672" i="1"/>
  <c r="D672" i="1" s="1"/>
  <c r="C673" i="1"/>
  <c r="D673" i="1" s="1"/>
  <c r="C674" i="1"/>
  <c r="D674" i="1" s="1"/>
  <c r="C675" i="1"/>
  <c r="D675" i="1" s="1"/>
  <c r="C676" i="1"/>
  <c r="D676" i="1" s="1"/>
  <c r="C677" i="1"/>
  <c r="D677" i="1" s="1"/>
  <c r="C678" i="1"/>
  <c r="D678" i="1" s="1"/>
  <c r="C679" i="1"/>
  <c r="D679" i="1" s="1"/>
  <c r="C680" i="1"/>
  <c r="D680" i="1" s="1"/>
  <c r="C681" i="1"/>
  <c r="D681" i="1" s="1"/>
  <c r="C682" i="1"/>
  <c r="D682" i="1" s="1"/>
  <c r="C683" i="1"/>
  <c r="D683" i="1" s="1"/>
  <c r="C684" i="1"/>
  <c r="D684" i="1" s="1"/>
  <c r="C685" i="1"/>
  <c r="C686" i="1"/>
  <c r="D686" i="1" s="1"/>
  <c r="C687" i="1"/>
  <c r="D687" i="1" s="1"/>
  <c r="C688" i="1"/>
  <c r="D688" i="1" s="1"/>
  <c r="C689" i="1"/>
  <c r="D689" i="1" s="1"/>
  <c r="C690" i="1"/>
  <c r="D690" i="1" s="1"/>
  <c r="C691" i="1"/>
  <c r="D691" i="1" s="1"/>
  <c r="C692" i="1"/>
  <c r="D692" i="1" s="1"/>
  <c r="C693" i="1"/>
  <c r="D693" i="1" s="1"/>
  <c r="C694" i="1"/>
  <c r="D694" i="1" s="1"/>
  <c r="C695" i="1"/>
  <c r="D695" i="1" s="1"/>
  <c r="C696" i="1"/>
  <c r="D696" i="1" s="1"/>
  <c r="C697" i="1"/>
  <c r="D697" i="1" s="1"/>
  <c r="C698" i="1"/>
  <c r="D698" i="1" s="1"/>
  <c r="C699" i="1"/>
  <c r="D699" i="1" s="1"/>
  <c r="C700" i="1"/>
  <c r="D700" i="1" s="1"/>
  <c r="C701" i="1"/>
  <c r="D701" i="1" s="1"/>
  <c r="C702" i="1"/>
  <c r="D702" i="1" s="1"/>
  <c r="C703" i="1"/>
  <c r="D703" i="1" s="1"/>
  <c r="C704" i="1"/>
  <c r="D704" i="1" s="1"/>
  <c r="C705" i="1"/>
  <c r="D705" i="1" s="1"/>
  <c r="C706" i="1"/>
  <c r="D706" i="1" s="1"/>
  <c r="C707" i="1"/>
  <c r="D707" i="1" s="1"/>
  <c r="C708" i="1"/>
  <c r="D708" i="1" s="1"/>
  <c r="C709" i="1"/>
  <c r="D709" i="1" s="1"/>
  <c r="C710" i="1"/>
  <c r="D710" i="1" s="1"/>
  <c r="C711" i="1"/>
  <c r="D711" i="1" s="1"/>
  <c r="C712" i="1"/>
  <c r="D712" i="1" s="1"/>
  <c r="C713" i="1"/>
  <c r="D713" i="1" s="1"/>
  <c r="C714" i="1"/>
  <c r="D714" i="1" s="1"/>
  <c r="C715" i="1"/>
  <c r="D715" i="1" s="1"/>
  <c r="C716" i="1"/>
  <c r="D716" i="1" s="1"/>
  <c r="C717" i="1"/>
  <c r="D717" i="1" s="1"/>
  <c r="C718" i="1"/>
  <c r="D718" i="1" s="1"/>
  <c r="C719" i="1"/>
  <c r="D719" i="1" s="1"/>
  <c r="C720" i="1"/>
  <c r="D720" i="1" s="1"/>
  <c r="C721" i="1"/>
  <c r="D721" i="1" s="1"/>
  <c r="C722" i="1"/>
  <c r="D722" i="1" s="1"/>
  <c r="C723" i="1"/>
  <c r="D723" i="1" s="1"/>
  <c r="C724" i="1"/>
  <c r="D724" i="1" s="1"/>
  <c r="C725" i="1"/>
  <c r="D725" i="1" s="1"/>
  <c r="C726" i="1"/>
  <c r="D726" i="1" s="1"/>
  <c r="C727" i="1"/>
  <c r="D727" i="1" s="1"/>
  <c r="C728" i="1"/>
  <c r="D728" i="1" s="1"/>
  <c r="C729" i="1"/>
  <c r="D729" i="1" s="1"/>
  <c r="C730" i="1"/>
  <c r="D730" i="1" s="1"/>
  <c r="C731" i="1"/>
  <c r="D731" i="1" s="1"/>
  <c r="C732" i="1"/>
  <c r="D732" i="1" s="1"/>
  <c r="C733" i="1"/>
  <c r="C734" i="1"/>
  <c r="D734" i="1" s="1"/>
  <c r="C735" i="1"/>
  <c r="D735" i="1" s="1"/>
  <c r="C736" i="1"/>
  <c r="D736" i="1" s="1"/>
  <c r="C737" i="1"/>
  <c r="D737" i="1" s="1"/>
  <c r="C738" i="1"/>
  <c r="D738" i="1" s="1"/>
  <c r="C739" i="1"/>
  <c r="D739" i="1" s="1"/>
  <c r="C740" i="1"/>
  <c r="D740" i="1" s="1"/>
  <c r="C741" i="1"/>
  <c r="D741" i="1" s="1"/>
  <c r="C742" i="1"/>
  <c r="D742" i="1" s="1"/>
  <c r="C743" i="1"/>
  <c r="D743" i="1" s="1"/>
  <c r="C744" i="1"/>
  <c r="D744" i="1" s="1"/>
  <c r="C745" i="1"/>
  <c r="D745" i="1" s="1"/>
  <c r="C746" i="1"/>
  <c r="D746" i="1" s="1"/>
  <c r="C747" i="1"/>
  <c r="D747" i="1" s="1"/>
  <c r="C748" i="1"/>
  <c r="D748" i="1" s="1"/>
  <c r="C749" i="1"/>
  <c r="D749" i="1" s="1"/>
  <c r="C750" i="1"/>
  <c r="D750" i="1" s="1"/>
  <c r="C751" i="1"/>
  <c r="D751" i="1" s="1"/>
  <c r="C752" i="1"/>
  <c r="D752" i="1" s="1"/>
  <c r="C753" i="1"/>
  <c r="D753" i="1" s="1"/>
  <c r="C754" i="1"/>
  <c r="D754" i="1" s="1"/>
  <c r="C755" i="1"/>
  <c r="D755" i="1" s="1"/>
  <c r="C756" i="1"/>
  <c r="D756" i="1" s="1"/>
  <c r="C757" i="1"/>
  <c r="D757" i="1" s="1"/>
  <c r="C758" i="1"/>
  <c r="D758" i="1" s="1"/>
  <c r="C759" i="1"/>
  <c r="D759" i="1" s="1"/>
  <c r="C760" i="1"/>
  <c r="D760" i="1" s="1"/>
  <c r="C761" i="1"/>
  <c r="D761" i="1" s="1"/>
  <c r="C762" i="1"/>
  <c r="D762" i="1" s="1"/>
  <c r="C763" i="1"/>
  <c r="D763" i="1" s="1"/>
  <c r="C764" i="1"/>
  <c r="D764" i="1" s="1"/>
  <c r="C765" i="1"/>
  <c r="D765" i="1" s="1"/>
  <c r="C766" i="1"/>
  <c r="D766" i="1" s="1"/>
  <c r="C767" i="1"/>
  <c r="D767" i="1" s="1"/>
  <c r="C768" i="1"/>
  <c r="D768" i="1" s="1"/>
  <c r="C769" i="1"/>
  <c r="D769" i="1" s="1"/>
  <c r="C770" i="1"/>
  <c r="D770" i="1" s="1"/>
  <c r="C771" i="1"/>
  <c r="D771" i="1" s="1"/>
  <c r="C772" i="1"/>
  <c r="D772" i="1" s="1"/>
  <c r="C773" i="1"/>
  <c r="D773" i="1" s="1"/>
  <c r="C774" i="1"/>
  <c r="D774" i="1" s="1"/>
  <c r="C775" i="1"/>
  <c r="D775" i="1" s="1"/>
  <c r="C776" i="1"/>
  <c r="D776" i="1" s="1"/>
  <c r="C777" i="1"/>
  <c r="D777" i="1" s="1"/>
  <c r="C778" i="1"/>
  <c r="D778" i="1" s="1"/>
  <c r="C779" i="1"/>
  <c r="D779" i="1" s="1"/>
  <c r="C780" i="1"/>
  <c r="D780" i="1" s="1"/>
  <c r="C781" i="1"/>
  <c r="D781" i="1" s="1"/>
  <c r="C782" i="1"/>
  <c r="D782" i="1" s="1"/>
  <c r="C783" i="1"/>
  <c r="D783" i="1" s="1"/>
  <c r="C784" i="1"/>
  <c r="D784" i="1" s="1"/>
  <c r="C785" i="1"/>
  <c r="D785" i="1" s="1"/>
  <c r="C786" i="1"/>
  <c r="D786" i="1" s="1"/>
  <c r="C787" i="1"/>
  <c r="D787" i="1" s="1"/>
  <c r="C788" i="1"/>
  <c r="D788" i="1" s="1"/>
  <c r="C789" i="1"/>
  <c r="D789" i="1" s="1"/>
  <c r="C790" i="1"/>
  <c r="D790" i="1" s="1"/>
  <c r="C791" i="1"/>
  <c r="D791" i="1" s="1"/>
  <c r="C792" i="1"/>
  <c r="D792" i="1" s="1"/>
  <c r="C793" i="1"/>
  <c r="C794" i="1"/>
  <c r="D794" i="1" s="1"/>
  <c r="C795" i="1"/>
  <c r="D795" i="1" s="1"/>
  <c r="C796" i="1"/>
  <c r="D796" i="1" s="1"/>
  <c r="C797" i="1"/>
  <c r="D797" i="1" s="1"/>
  <c r="C798" i="1"/>
  <c r="D798" i="1" s="1"/>
  <c r="C799" i="1"/>
  <c r="D799" i="1" s="1"/>
  <c r="C800" i="1"/>
  <c r="D800" i="1" s="1"/>
  <c r="C801" i="1"/>
  <c r="D801" i="1" s="1"/>
  <c r="C802" i="1"/>
  <c r="D802" i="1" s="1"/>
  <c r="C803" i="1"/>
  <c r="D803" i="1" s="1"/>
  <c r="C804" i="1"/>
  <c r="D804" i="1" s="1"/>
  <c r="C805" i="1"/>
  <c r="D805" i="1" s="1"/>
  <c r="C806" i="1"/>
  <c r="D806" i="1" s="1"/>
  <c r="C807" i="1"/>
  <c r="D807" i="1" s="1"/>
  <c r="C808" i="1"/>
  <c r="D808" i="1" s="1"/>
  <c r="C809" i="1"/>
  <c r="D809" i="1" s="1"/>
  <c r="C810" i="1"/>
  <c r="D810" i="1" s="1"/>
  <c r="C811" i="1"/>
  <c r="D811" i="1" s="1"/>
  <c r="C812" i="1"/>
  <c r="D812" i="1" s="1"/>
  <c r="C813" i="1"/>
  <c r="D813" i="1" s="1"/>
  <c r="C814" i="1"/>
  <c r="D814" i="1" s="1"/>
  <c r="C815" i="1"/>
  <c r="D815" i="1" s="1"/>
  <c r="C816" i="1"/>
  <c r="D816" i="1" s="1"/>
  <c r="C817" i="1"/>
  <c r="D817" i="1" s="1"/>
  <c r="C818" i="1"/>
  <c r="D818" i="1" s="1"/>
  <c r="C819" i="1"/>
  <c r="D819" i="1" s="1"/>
  <c r="C820" i="1"/>
  <c r="D820" i="1" s="1"/>
  <c r="C821" i="1"/>
  <c r="D821" i="1" s="1"/>
  <c r="C822" i="1"/>
  <c r="D822" i="1" s="1"/>
  <c r="C823" i="1"/>
  <c r="D823" i="1" s="1"/>
  <c r="C824" i="1"/>
  <c r="D824" i="1" s="1"/>
  <c r="C825" i="1"/>
  <c r="D825" i="1" s="1"/>
  <c r="C826" i="1"/>
  <c r="D826" i="1" s="1"/>
  <c r="C827" i="1"/>
  <c r="D827" i="1" s="1"/>
  <c r="C828" i="1"/>
  <c r="D828" i="1" s="1"/>
  <c r="C829" i="1"/>
  <c r="D829" i="1" s="1"/>
  <c r="C830" i="1"/>
  <c r="D830" i="1" s="1"/>
  <c r="C831" i="1"/>
  <c r="D831" i="1" s="1"/>
  <c r="C832" i="1"/>
  <c r="D832" i="1" s="1"/>
  <c r="C833" i="1"/>
  <c r="D833" i="1" s="1"/>
  <c r="C834" i="1"/>
  <c r="D834" i="1" s="1"/>
  <c r="C835" i="1"/>
  <c r="D835" i="1" s="1"/>
  <c r="C836" i="1"/>
  <c r="D836" i="1" s="1"/>
  <c r="C837" i="1"/>
  <c r="D837" i="1" s="1"/>
  <c r="C838" i="1"/>
  <c r="D838" i="1" s="1"/>
  <c r="C839" i="1"/>
  <c r="D839" i="1" s="1"/>
  <c r="C840" i="1"/>
  <c r="D840" i="1" s="1"/>
  <c r="C841" i="1"/>
  <c r="D841" i="1" s="1"/>
  <c r="C842" i="1"/>
  <c r="D842" i="1" s="1"/>
  <c r="C843" i="1"/>
  <c r="D843" i="1" s="1"/>
  <c r="C844" i="1"/>
  <c r="D844" i="1" s="1"/>
  <c r="C845" i="1"/>
  <c r="D845" i="1" s="1"/>
  <c r="C846" i="1"/>
  <c r="D846" i="1" s="1"/>
  <c r="C847" i="1"/>
  <c r="D847" i="1" s="1"/>
  <c r="C848" i="1"/>
  <c r="D848" i="1" s="1"/>
  <c r="C849" i="1"/>
  <c r="D849" i="1" s="1"/>
  <c r="C850" i="1"/>
  <c r="D850" i="1" s="1"/>
  <c r="C851" i="1"/>
  <c r="D851" i="1" s="1"/>
  <c r="C852" i="1"/>
  <c r="D852" i="1" s="1"/>
  <c r="C853" i="1"/>
  <c r="D853" i="1" s="1"/>
  <c r="C854" i="1"/>
  <c r="D854" i="1" s="1"/>
  <c r="C855" i="1"/>
  <c r="D855" i="1" s="1"/>
  <c r="C856" i="1"/>
  <c r="D856" i="1" s="1"/>
  <c r="C857" i="1"/>
  <c r="D857" i="1" s="1"/>
  <c r="C858" i="1"/>
  <c r="D858" i="1" s="1"/>
  <c r="C859" i="1"/>
  <c r="D859" i="1" s="1"/>
  <c r="C860" i="1"/>
  <c r="D860" i="1" s="1"/>
  <c r="C861" i="1"/>
  <c r="D861" i="1" s="1"/>
  <c r="C862" i="1"/>
  <c r="D862" i="1" s="1"/>
  <c r="C863" i="1"/>
  <c r="D863" i="1" s="1"/>
  <c r="C864" i="1"/>
  <c r="D864" i="1" s="1"/>
  <c r="C865" i="1"/>
  <c r="D865" i="1" s="1"/>
  <c r="C866" i="1"/>
  <c r="D866" i="1" s="1"/>
  <c r="C867" i="1"/>
  <c r="D867" i="1" s="1"/>
  <c r="C868" i="1"/>
  <c r="D868" i="1" s="1"/>
  <c r="C869" i="1"/>
  <c r="D869" i="1" s="1"/>
  <c r="C870" i="1"/>
  <c r="D870" i="1" s="1"/>
  <c r="C871" i="1"/>
  <c r="D871" i="1" s="1"/>
  <c r="C872" i="1"/>
  <c r="D872" i="1" s="1"/>
  <c r="C873" i="1"/>
  <c r="D873" i="1" s="1"/>
  <c r="C874" i="1"/>
  <c r="D874" i="1" s="1"/>
  <c r="C875" i="1"/>
  <c r="D875" i="1" s="1"/>
  <c r="C876" i="1"/>
  <c r="D876" i="1" s="1"/>
  <c r="C877" i="1"/>
  <c r="D877" i="1" s="1"/>
  <c r="C878" i="1"/>
  <c r="D878" i="1" s="1"/>
  <c r="C879" i="1"/>
  <c r="D879" i="1" s="1"/>
  <c r="C880" i="1"/>
  <c r="D880" i="1" s="1"/>
  <c r="C881" i="1"/>
  <c r="D881" i="1" s="1"/>
  <c r="C882" i="1"/>
  <c r="D882" i="1" s="1"/>
  <c r="C883" i="1"/>
  <c r="D883" i="1" s="1"/>
  <c r="C884" i="1"/>
  <c r="D884" i="1" s="1"/>
  <c r="C885" i="1"/>
  <c r="D885" i="1" s="1"/>
  <c r="C886" i="1"/>
  <c r="D886" i="1" s="1"/>
  <c r="C887" i="1"/>
  <c r="D887" i="1" s="1"/>
  <c r="C888" i="1"/>
  <c r="D888" i="1" s="1"/>
  <c r="C889" i="1"/>
  <c r="D889" i="1" s="1"/>
  <c r="C890" i="1"/>
  <c r="D890" i="1" s="1"/>
  <c r="C891" i="1"/>
  <c r="D891" i="1" s="1"/>
  <c r="C892" i="1"/>
  <c r="D892" i="1" s="1"/>
  <c r="C893" i="1"/>
  <c r="D893" i="1" s="1"/>
  <c r="C894" i="1"/>
  <c r="D894" i="1" s="1"/>
  <c r="C895" i="1"/>
  <c r="D895" i="1" s="1"/>
  <c r="C896" i="1"/>
  <c r="D896" i="1" s="1"/>
  <c r="C897" i="1"/>
  <c r="D897" i="1" s="1"/>
  <c r="C898" i="1"/>
  <c r="D898" i="1" s="1"/>
  <c r="C899" i="1"/>
  <c r="D899" i="1" s="1"/>
  <c r="C900" i="1"/>
  <c r="D900" i="1" s="1"/>
  <c r="C901" i="1"/>
  <c r="D901" i="1" s="1"/>
  <c r="C902" i="1"/>
  <c r="D902" i="1" s="1"/>
  <c r="C903" i="1"/>
  <c r="D903" i="1" s="1"/>
  <c r="C904" i="1"/>
  <c r="D904" i="1" s="1"/>
  <c r="C905" i="1"/>
  <c r="D905" i="1" s="1"/>
  <c r="C906" i="1"/>
  <c r="D906" i="1" s="1"/>
  <c r="C907" i="1"/>
  <c r="D907" i="1" s="1"/>
  <c r="C908" i="1"/>
  <c r="D908" i="1" s="1"/>
  <c r="C909" i="1"/>
  <c r="D909" i="1" s="1"/>
  <c r="C910" i="1"/>
  <c r="D910" i="1" s="1"/>
  <c r="C911" i="1"/>
  <c r="D911" i="1" s="1"/>
  <c r="C912" i="1"/>
  <c r="D912" i="1" s="1"/>
  <c r="C913" i="1"/>
  <c r="D913" i="1" s="1"/>
  <c r="C914" i="1"/>
  <c r="D914" i="1" s="1"/>
  <c r="C915" i="1"/>
  <c r="D915" i="1" s="1"/>
  <c r="C916" i="1"/>
  <c r="D916" i="1" s="1"/>
  <c r="C917" i="1"/>
  <c r="D917" i="1" s="1"/>
  <c r="C918" i="1"/>
  <c r="D918" i="1" s="1"/>
  <c r="C919" i="1"/>
  <c r="D919" i="1" s="1"/>
  <c r="C920" i="1"/>
  <c r="D920" i="1" s="1"/>
  <c r="C921" i="1"/>
  <c r="D921" i="1" s="1"/>
  <c r="C922" i="1"/>
  <c r="D922" i="1" s="1"/>
  <c r="C923" i="1"/>
  <c r="D923" i="1" s="1"/>
  <c r="C924" i="1"/>
  <c r="D924" i="1" s="1"/>
  <c r="C925" i="1"/>
  <c r="D925" i="1" s="1"/>
  <c r="C926" i="1"/>
  <c r="D926" i="1" s="1"/>
  <c r="C927" i="1"/>
  <c r="D927" i="1" s="1"/>
  <c r="C928" i="1"/>
  <c r="D928" i="1" s="1"/>
  <c r="C929" i="1"/>
  <c r="D929" i="1" s="1"/>
  <c r="C930" i="1"/>
  <c r="D930" i="1" s="1"/>
  <c r="C931" i="1"/>
  <c r="D931" i="1" s="1"/>
  <c r="C932" i="1"/>
  <c r="D932" i="1" s="1"/>
  <c r="C933" i="1"/>
  <c r="D933" i="1" s="1"/>
  <c r="C934" i="1"/>
  <c r="D934" i="1" s="1"/>
  <c r="C935" i="1"/>
  <c r="D935" i="1" s="1"/>
  <c r="C936" i="1"/>
  <c r="D936" i="1" s="1"/>
  <c r="C937" i="1"/>
  <c r="D937" i="1" s="1"/>
  <c r="C938" i="1"/>
  <c r="D938" i="1" s="1"/>
  <c r="C939" i="1"/>
  <c r="D939" i="1" s="1"/>
  <c r="C940" i="1"/>
  <c r="D940" i="1" s="1"/>
  <c r="C941" i="1"/>
  <c r="D941" i="1" s="1"/>
  <c r="C942" i="1"/>
  <c r="D942" i="1" s="1"/>
  <c r="C943" i="1"/>
  <c r="D943" i="1" s="1"/>
  <c r="C944" i="1"/>
  <c r="D944" i="1" s="1"/>
  <c r="C945" i="1"/>
  <c r="D945" i="1" s="1"/>
  <c r="C946" i="1"/>
  <c r="D946" i="1" s="1"/>
  <c r="C947" i="1"/>
  <c r="D947" i="1" s="1"/>
  <c r="C948" i="1"/>
  <c r="D948" i="1" s="1"/>
  <c r="C949" i="1"/>
  <c r="D949" i="1" s="1"/>
  <c r="C950" i="1"/>
  <c r="D950" i="1" s="1"/>
  <c r="C951" i="1"/>
  <c r="D951" i="1" s="1"/>
  <c r="C952" i="1"/>
  <c r="D952" i="1" s="1"/>
  <c r="C953" i="1"/>
  <c r="D953" i="1" s="1"/>
  <c r="C954" i="1"/>
  <c r="D954" i="1" s="1"/>
  <c r="C955" i="1"/>
  <c r="D955" i="1" s="1"/>
  <c r="C956" i="1"/>
  <c r="D956" i="1" s="1"/>
  <c r="C957" i="1"/>
  <c r="D957" i="1" s="1"/>
  <c r="C958" i="1"/>
  <c r="D958" i="1" s="1"/>
  <c r="C959" i="1"/>
  <c r="D959" i="1" s="1"/>
  <c r="C960" i="1"/>
  <c r="D960" i="1" s="1"/>
  <c r="C961" i="1"/>
  <c r="D961" i="1" s="1"/>
  <c r="C962" i="1"/>
  <c r="D962" i="1" s="1"/>
  <c r="C963" i="1"/>
  <c r="D963" i="1" s="1"/>
  <c r="C964" i="1"/>
  <c r="D964" i="1" s="1"/>
  <c r="C965" i="1"/>
  <c r="D965" i="1" s="1"/>
  <c r="C966" i="1"/>
  <c r="D966" i="1" s="1"/>
  <c r="C967" i="1"/>
  <c r="D967" i="1" s="1"/>
  <c r="C968" i="1"/>
  <c r="D968" i="1" s="1"/>
  <c r="C969" i="1"/>
  <c r="D969" i="1" s="1"/>
  <c r="C970" i="1"/>
  <c r="D970" i="1" s="1"/>
  <c r="C971" i="1"/>
  <c r="D971" i="1" s="1"/>
  <c r="C972" i="1"/>
  <c r="D972" i="1" s="1"/>
  <c r="C973" i="1"/>
  <c r="D973" i="1" s="1"/>
  <c r="C974" i="1"/>
  <c r="D974" i="1" s="1"/>
  <c r="C975" i="1"/>
  <c r="D975" i="1" s="1"/>
  <c r="C976" i="1"/>
  <c r="D976" i="1" s="1"/>
  <c r="C977" i="1"/>
  <c r="D977" i="1" s="1"/>
  <c r="C978" i="1"/>
  <c r="D978" i="1" s="1"/>
  <c r="C979" i="1"/>
  <c r="D979" i="1" s="1"/>
  <c r="C980" i="1"/>
  <c r="D980" i="1" s="1"/>
  <c r="C981" i="1"/>
  <c r="D981" i="1" s="1"/>
  <c r="C982" i="1"/>
  <c r="D982" i="1" s="1"/>
  <c r="C983" i="1"/>
  <c r="D983" i="1" s="1"/>
  <c r="C984" i="1"/>
  <c r="D984" i="1" s="1"/>
  <c r="C985" i="1"/>
  <c r="D985" i="1" s="1"/>
  <c r="C986" i="1"/>
  <c r="D986" i="1" s="1"/>
  <c r="C987" i="1"/>
  <c r="D987" i="1" s="1"/>
  <c r="C988" i="1"/>
  <c r="D988" i="1" s="1"/>
  <c r="C989" i="1"/>
  <c r="D989" i="1" s="1"/>
  <c r="C990" i="1"/>
  <c r="D990" i="1" s="1"/>
  <c r="C991" i="1"/>
  <c r="D991" i="1" s="1"/>
  <c r="C992" i="1"/>
  <c r="D992" i="1" s="1"/>
  <c r="C993" i="1"/>
  <c r="D993" i="1" s="1"/>
  <c r="C994" i="1"/>
  <c r="D994" i="1" s="1"/>
  <c r="C995" i="1"/>
  <c r="D995" i="1" s="1"/>
  <c r="C996" i="1"/>
  <c r="D996" i="1" s="1"/>
  <c r="C997" i="1"/>
  <c r="D997" i="1" s="1"/>
  <c r="C998" i="1"/>
  <c r="D998" i="1" s="1"/>
  <c r="C999" i="1"/>
  <c r="D999" i="1" s="1"/>
  <c r="C1000" i="1"/>
  <c r="D1000" i="1" s="1"/>
  <c r="C1001" i="1"/>
  <c r="D1001" i="1" s="1"/>
  <c r="C1002" i="1"/>
  <c r="D1002" i="1" s="1"/>
  <c r="C1003" i="1"/>
  <c r="D1003" i="1" s="1"/>
  <c r="C1004" i="1"/>
  <c r="D1004" i="1" s="1"/>
  <c r="C1005" i="1"/>
  <c r="D1005" i="1" s="1"/>
  <c r="C1006" i="1"/>
  <c r="D1006" i="1" s="1"/>
  <c r="C1007" i="1"/>
  <c r="D1007" i="1" s="1"/>
  <c r="C1008" i="1"/>
  <c r="D1008" i="1" s="1"/>
  <c r="C1009" i="1"/>
  <c r="D1009" i="1" s="1"/>
  <c r="C1010" i="1"/>
  <c r="D1010" i="1" s="1"/>
  <c r="C1011" i="1"/>
  <c r="D1011" i="1" s="1"/>
  <c r="C1012" i="1"/>
  <c r="D1012" i="1" s="1"/>
  <c r="C1013" i="1"/>
  <c r="D1013" i="1" s="1"/>
  <c r="C1014" i="1"/>
  <c r="D1014" i="1" s="1"/>
  <c r="C1015" i="1"/>
  <c r="D1015" i="1" s="1"/>
  <c r="C1016" i="1"/>
  <c r="D1016" i="1" s="1"/>
  <c r="C1017" i="1"/>
  <c r="D1017" i="1" s="1"/>
  <c r="C1018" i="1"/>
  <c r="D1018" i="1" s="1"/>
  <c r="C1019" i="1"/>
  <c r="D1019" i="1" s="1"/>
  <c r="C1020" i="1"/>
  <c r="D1020" i="1" s="1"/>
  <c r="C1021" i="1"/>
  <c r="D1021" i="1" s="1"/>
  <c r="C1022" i="1"/>
  <c r="D1022" i="1" s="1"/>
  <c r="C1023" i="1"/>
  <c r="D1023" i="1" s="1"/>
  <c r="C1024" i="1"/>
  <c r="D1024" i="1" s="1"/>
  <c r="C1025" i="1"/>
  <c r="D1025" i="1" s="1"/>
  <c r="C1026" i="1"/>
  <c r="D1026" i="1" s="1"/>
  <c r="C1027" i="1"/>
  <c r="D1027" i="1" s="1"/>
  <c r="C1028" i="1"/>
  <c r="D1028" i="1" s="1"/>
  <c r="C1029" i="1"/>
  <c r="D1029" i="1" s="1"/>
  <c r="C1030" i="1"/>
  <c r="D1030" i="1" s="1"/>
  <c r="C1031" i="1"/>
  <c r="D1031" i="1" s="1"/>
  <c r="C1032" i="1"/>
  <c r="D1032" i="1" s="1"/>
  <c r="C1033" i="1"/>
  <c r="D1033" i="1" s="1"/>
  <c r="C1034" i="1"/>
  <c r="D1034" i="1" s="1"/>
  <c r="C1035" i="1"/>
  <c r="D1035" i="1" s="1"/>
  <c r="C1036" i="1"/>
  <c r="D1036" i="1" s="1"/>
  <c r="C1037" i="1"/>
  <c r="D1037" i="1" s="1"/>
  <c r="C1038" i="1"/>
  <c r="D1038" i="1" s="1"/>
  <c r="C1039" i="1"/>
  <c r="D1039" i="1" s="1"/>
  <c r="C1040" i="1"/>
  <c r="D1040" i="1" s="1"/>
  <c r="C1041" i="1"/>
  <c r="D1041" i="1" s="1"/>
  <c r="C1042" i="1"/>
  <c r="D1042" i="1" s="1"/>
  <c r="C1043" i="1"/>
  <c r="D1043" i="1" s="1"/>
  <c r="C1044" i="1"/>
  <c r="D1044" i="1" s="1"/>
  <c r="C1045" i="1"/>
  <c r="D1045" i="1" s="1"/>
  <c r="C1046" i="1"/>
  <c r="D1046" i="1" s="1"/>
  <c r="C1047" i="1"/>
  <c r="D1047" i="1" s="1"/>
  <c r="C1048" i="1"/>
  <c r="D1048" i="1" s="1"/>
  <c r="C1049" i="1"/>
  <c r="D1049" i="1" s="1"/>
  <c r="C1050" i="1"/>
  <c r="D1050" i="1" s="1"/>
  <c r="C1051" i="1"/>
  <c r="D1051" i="1" s="1"/>
  <c r="C1052" i="1"/>
  <c r="D1052" i="1" s="1"/>
  <c r="C1053" i="1"/>
  <c r="D1053" i="1" s="1"/>
  <c r="C1054" i="1"/>
  <c r="D1054" i="1" s="1"/>
  <c r="C1055" i="1"/>
  <c r="D1055" i="1" s="1"/>
  <c r="C1056" i="1"/>
  <c r="D1056" i="1" s="1"/>
  <c r="C1057" i="1"/>
  <c r="D1057" i="1" s="1"/>
  <c r="C1058" i="1"/>
  <c r="D1058" i="1" s="1"/>
  <c r="C1059" i="1"/>
  <c r="D1059" i="1" s="1"/>
  <c r="C1060" i="1"/>
  <c r="D1060" i="1" s="1"/>
  <c r="C1061" i="1"/>
  <c r="D1061" i="1" s="1"/>
  <c r="C1062" i="1"/>
  <c r="D1062" i="1" s="1"/>
  <c r="C1063" i="1"/>
  <c r="D1063" i="1" s="1"/>
  <c r="C1064" i="1"/>
  <c r="D1064" i="1" s="1"/>
  <c r="C1065" i="1"/>
  <c r="D1065" i="1" s="1"/>
  <c r="C1066" i="1"/>
  <c r="D1066" i="1" s="1"/>
  <c r="C1067" i="1"/>
  <c r="D1067" i="1" s="1"/>
  <c r="C1068" i="1"/>
  <c r="D1068" i="1" s="1"/>
  <c r="C1069" i="1"/>
  <c r="D1069" i="1" s="1"/>
  <c r="C1070" i="1"/>
  <c r="D1070" i="1" s="1"/>
  <c r="C1071" i="1"/>
  <c r="D1071" i="1" s="1"/>
  <c r="C1072" i="1"/>
  <c r="D1072" i="1" s="1"/>
  <c r="C1073" i="1"/>
  <c r="D1073" i="1" s="1"/>
  <c r="C1074" i="1"/>
  <c r="D1074" i="1" s="1"/>
  <c r="C1075" i="1"/>
  <c r="D1075" i="1" s="1"/>
  <c r="C1076" i="1"/>
  <c r="D1076" i="1" s="1"/>
  <c r="C1077" i="1"/>
  <c r="D1077" i="1" s="1"/>
  <c r="C1078" i="1"/>
  <c r="D1078" i="1" s="1"/>
  <c r="C1079" i="1"/>
  <c r="D1079" i="1" s="1"/>
  <c r="C1080" i="1"/>
  <c r="D1080" i="1" s="1"/>
  <c r="C1081" i="1"/>
  <c r="D1081" i="1" s="1"/>
  <c r="C1082" i="1"/>
  <c r="D1082" i="1" s="1"/>
  <c r="C1083" i="1"/>
  <c r="D1083" i="1" s="1"/>
  <c r="C1084" i="1"/>
  <c r="D1084" i="1" s="1"/>
  <c r="C1085" i="1"/>
  <c r="D1085" i="1" s="1"/>
  <c r="C1086" i="1"/>
  <c r="D1086" i="1" s="1"/>
  <c r="C1087" i="1"/>
  <c r="D1087" i="1" s="1"/>
  <c r="C1088" i="1"/>
  <c r="D1088" i="1" s="1"/>
  <c r="C1089" i="1"/>
  <c r="D1089" i="1" s="1"/>
  <c r="C1090" i="1"/>
  <c r="D1090" i="1" s="1"/>
  <c r="C1091" i="1"/>
  <c r="D1091" i="1" s="1"/>
  <c r="C1092" i="1"/>
  <c r="D1092" i="1" s="1"/>
  <c r="C1093" i="1"/>
  <c r="D1093" i="1" s="1"/>
  <c r="C1094" i="1"/>
  <c r="D1094" i="1" s="1"/>
  <c r="C1095" i="1"/>
  <c r="D1095" i="1" s="1"/>
  <c r="C1096" i="1"/>
  <c r="D1096" i="1" s="1"/>
  <c r="C1097" i="1"/>
  <c r="D1097" i="1" s="1"/>
  <c r="C1098" i="1"/>
  <c r="D1098" i="1" s="1"/>
  <c r="C1099" i="1"/>
  <c r="D1099" i="1" s="1"/>
  <c r="C1100" i="1"/>
  <c r="D1100" i="1" s="1"/>
  <c r="C1101" i="1"/>
  <c r="D1101" i="1" s="1"/>
  <c r="C1102" i="1"/>
  <c r="D1102" i="1" s="1"/>
  <c r="C1103" i="1"/>
  <c r="D1103" i="1" s="1"/>
  <c r="C1104" i="1"/>
  <c r="D1104" i="1" s="1"/>
  <c r="C1105" i="1"/>
  <c r="D1105" i="1" s="1"/>
  <c r="C1106" i="1"/>
  <c r="D1106" i="1" s="1"/>
  <c r="C1107" i="1"/>
  <c r="D1107" i="1" s="1"/>
  <c r="C1108" i="1"/>
  <c r="D1108" i="1" s="1"/>
  <c r="C1109" i="1"/>
  <c r="D1109" i="1" s="1"/>
  <c r="C1110" i="1"/>
  <c r="D1110" i="1" s="1"/>
  <c r="C1111" i="1"/>
  <c r="D1111" i="1" s="1"/>
  <c r="C1112" i="1"/>
  <c r="D1112" i="1" s="1"/>
  <c r="C1113" i="1"/>
  <c r="D1113" i="1" s="1"/>
  <c r="C1114" i="1"/>
  <c r="D1114" i="1" s="1"/>
  <c r="C1115" i="1"/>
  <c r="D1115" i="1" s="1"/>
  <c r="C1116" i="1"/>
  <c r="D1116" i="1" s="1"/>
  <c r="C1117" i="1"/>
  <c r="D1117" i="1" s="1"/>
  <c r="C1118" i="1"/>
  <c r="D1118" i="1" s="1"/>
  <c r="C1119" i="1"/>
  <c r="D1119" i="1" s="1"/>
  <c r="C1120" i="1"/>
  <c r="D1120" i="1" s="1"/>
  <c r="C1121" i="1"/>
  <c r="D1121" i="1" s="1"/>
  <c r="C1122" i="1"/>
  <c r="D1122" i="1" s="1"/>
  <c r="C1123" i="1"/>
  <c r="D1123" i="1" s="1"/>
  <c r="C1124" i="1"/>
  <c r="D1124" i="1" s="1"/>
  <c r="C1125" i="1"/>
  <c r="D1125" i="1" s="1"/>
  <c r="C1126" i="1"/>
  <c r="D1126" i="1" s="1"/>
  <c r="C1127" i="1"/>
  <c r="D1127" i="1" s="1"/>
  <c r="C1128" i="1"/>
  <c r="D1128" i="1" s="1"/>
  <c r="C1129" i="1"/>
  <c r="D1129" i="1" s="1"/>
  <c r="C1130" i="1"/>
  <c r="D1130" i="1" s="1"/>
  <c r="C1131" i="1"/>
  <c r="D1131" i="1" s="1"/>
  <c r="C1132" i="1"/>
  <c r="D1132" i="1" s="1"/>
  <c r="C1133" i="1"/>
  <c r="D1133" i="1" s="1"/>
  <c r="C1134" i="1"/>
  <c r="D1134" i="1" s="1"/>
  <c r="C1135" i="1"/>
  <c r="D1135" i="1" s="1"/>
  <c r="C1136" i="1"/>
  <c r="D1136" i="1" s="1"/>
  <c r="C1137" i="1"/>
  <c r="D1137" i="1" s="1"/>
  <c r="C1138" i="1"/>
  <c r="D1138" i="1" s="1"/>
  <c r="C1139" i="1"/>
  <c r="D1139" i="1" s="1"/>
  <c r="C1140" i="1"/>
  <c r="D1140" i="1" s="1"/>
  <c r="C1141" i="1"/>
  <c r="D1141" i="1" s="1"/>
  <c r="C1142" i="1"/>
  <c r="D1142" i="1" s="1"/>
  <c r="C1143" i="1"/>
  <c r="D1143" i="1" s="1"/>
  <c r="C1144" i="1"/>
  <c r="D1144" i="1" s="1"/>
  <c r="C1145" i="1"/>
  <c r="D1145" i="1" s="1"/>
  <c r="C1146" i="1"/>
  <c r="D1146" i="1" s="1"/>
  <c r="C1147" i="1"/>
  <c r="D1147" i="1" s="1"/>
  <c r="C1148" i="1"/>
  <c r="D1148" i="1" s="1"/>
  <c r="C1149" i="1"/>
  <c r="D1149" i="1" s="1"/>
  <c r="C1150" i="1"/>
  <c r="D1150" i="1" s="1"/>
  <c r="C1151" i="1"/>
  <c r="D1151" i="1" s="1"/>
  <c r="C1152" i="1"/>
  <c r="D1152" i="1" s="1"/>
  <c r="C1153" i="1"/>
  <c r="D1153" i="1" s="1"/>
  <c r="C1154" i="1"/>
  <c r="D1154" i="1" s="1"/>
  <c r="C1155" i="1"/>
  <c r="D1155" i="1" s="1"/>
  <c r="C1156" i="1"/>
  <c r="D1156" i="1" s="1"/>
  <c r="C1157" i="1"/>
  <c r="D1157" i="1" s="1"/>
  <c r="C1158" i="1"/>
  <c r="D1158" i="1" s="1"/>
  <c r="C1159" i="1"/>
  <c r="D1159" i="1" s="1"/>
  <c r="C1160" i="1"/>
  <c r="D1160" i="1" s="1"/>
  <c r="C1161" i="1"/>
  <c r="D1161" i="1" s="1"/>
  <c r="C1162" i="1"/>
  <c r="D1162" i="1" s="1"/>
  <c r="C1163" i="1"/>
  <c r="D1163" i="1" s="1"/>
  <c r="C1164" i="1"/>
  <c r="D1164" i="1" s="1"/>
  <c r="C1165" i="1"/>
  <c r="D1165" i="1" s="1"/>
  <c r="C1166" i="1"/>
  <c r="D1166" i="1" s="1"/>
  <c r="C2" i="1"/>
  <c r="D2" i="1" s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2" i="1"/>
</calcChain>
</file>

<file path=xl/sharedStrings.xml><?xml version="1.0" encoding="utf-8"?>
<sst xmlns="http://schemas.openxmlformats.org/spreadsheetml/2006/main" count="46" uniqueCount="33">
  <si>
    <t>Id</t>
  </si>
  <si>
    <t>ActivityDate</t>
  </si>
  <si>
    <t>TotalSteps</t>
  </si>
  <si>
    <t>TotalDistance</t>
  </si>
  <si>
    <t>TrackerDistance</t>
  </si>
  <si>
    <t>LoggedActivitiesDistance</t>
  </si>
  <si>
    <t>VeryActiveDistance</t>
  </si>
  <si>
    <t>ModeratelyActiveDistance</t>
  </si>
  <si>
    <t>LightActiveDistance</t>
  </si>
  <si>
    <t>SedentaryActiveDistance</t>
  </si>
  <si>
    <t>VeryActiveMinutes</t>
  </si>
  <si>
    <t>FairlyActiveMinutes</t>
  </si>
  <si>
    <t>LightlyActiveMinutes</t>
  </si>
  <si>
    <t>SedentaryMinutes</t>
  </si>
  <si>
    <t>Calories</t>
  </si>
  <si>
    <t>TotalActivityMinutes</t>
  </si>
  <si>
    <t>TotalWearMinutes</t>
  </si>
  <si>
    <t>Day_Of_Week</t>
  </si>
  <si>
    <t>Is_Weekend</t>
  </si>
  <si>
    <t>ActiviytLevel</t>
  </si>
  <si>
    <t>Average of TotalSteps</t>
  </si>
  <si>
    <t>Average of Calories</t>
  </si>
  <si>
    <t>Average of TotalActivityMinutes</t>
  </si>
  <si>
    <t>Average of SedentaryMinutes</t>
  </si>
  <si>
    <t>Row Labels</t>
  </si>
  <si>
    <t>Fairly Active</t>
  </si>
  <si>
    <t>Highly Active</t>
  </si>
  <si>
    <t>Lightly Active</t>
  </si>
  <si>
    <t>Sedentary</t>
  </si>
  <si>
    <t>Grand Total</t>
  </si>
  <si>
    <t>Count of Id</t>
  </si>
  <si>
    <t>Weekday</t>
  </si>
  <si>
    <t>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</si>
</sst>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;@"/>
  </numFmts>
  <fonts count="2" x14ac:knownFonts="1">
    <font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2" fontId="0" fillId="0" borderId="0" xfId="0" applyNumberFormat="1"/>
    <xf numFmtId="0" fontId="0" fillId="0" borderId="0" xfId="0" pivotButton="1"/>
    <xf numFmtId="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9">
    <dxf>
      <fill>
        <patternFill>
          <bgColor theme="9" tint="0.39994506668294322"/>
        </patternFill>
      </fill>
    </dxf>
    <dxf>
      <numFmt numFmtId="1" formatCode="0"/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[Activity_Merged_Spreadsheet.xlsx]Activity_Level_Breakdown!PivotTable2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Calories</a:t>
            </a:r>
            <a:r>
              <a:rPr lang="en-US" sz="1600" b="1" baseline="0"/>
              <a:t> &amp; Minutes by Activity Level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Activity_Level_Breakdown!$B$3</c:f>
              <c:strCache>
                <c:ptCount val="1"/>
                <c:pt idx="0">
                  <c:v>Average of Calories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Activity_Level_Breakdown!$A$4:$A$8</c:f>
              <c:strCache>
                <c:ptCount val="4"/>
                <c:pt idx="0">
                  <c:v>Sedentary</c:v>
                </c:pt>
                <c:pt idx="1">
                  <c:v>Lightly Active</c:v>
                </c:pt>
                <c:pt idx="2">
                  <c:v>Fairly Active</c:v>
                </c:pt>
                <c:pt idx="3">
                  <c:v>Highly Active</c:v>
                </c:pt>
              </c:strCache>
            </c:strRef>
          </c:cat>
          <c:val>
            <c:numRef>
              <c:f>Activity_Level_Breakdown!$B$4:$B$8</c:f>
              <c:numCache>
                <c:formatCode>0</c:formatCode>
                <c:ptCount val="4"/>
                <c:pt idx="0">
                  <c:v>1911.8443708609273</c:v>
                </c:pt>
                <c:pt idx="1">
                  <c:v>2264.4504132231405</c:v>
                </c:pt>
                <c:pt idx="2">
                  <c:v>2500.544117647059</c:v>
                </c:pt>
                <c:pt idx="3">
                  <c:v>2718.4148681055158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25-4749-989E-13F568930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4412431"/>
        <c:axId val="1938695855"/>
      </c:barChart>
      <c:lineChart>
        <c:grouping val="standard"/>
        <c:varyColors val="0"/>
        <c:ser>
          <c:idx val="1"/>
          <c:order val="1"/>
          <c:tx>
            <c:strRef>
              <c:f>Activity_Level_Breakdown!$C$3</c:f>
              <c:strCache>
                <c:ptCount val="1"/>
                <c:pt idx="0">
                  <c:v>Average of TotalActivityMinutes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Activity_Level_Breakdown!$A$4:$A$8</c:f>
              <c:strCache>
                <c:ptCount val="4"/>
                <c:pt idx="0">
                  <c:v>Sedentary</c:v>
                </c:pt>
                <c:pt idx="1">
                  <c:v>Lightly Active</c:v>
                </c:pt>
                <c:pt idx="2">
                  <c:v>Fairly Active</c:v>
                </c:pt>
                <c:pt idx="3">
                  <c:v>Highly Active</c:v>
                </c:pt>
              </c:strCache>
            </c:strRef>
          </c:cat>
          <c:val>
            <c:numRef>
              <c:f>Activity_Level_Breakdown!$C$4:$C$8</c:f>
              <c:numCache>
                <c:formatCode>0.00</c:formatCode>
                <c:ptCount val="4"/>
                <c:pt idx="0">
                  <c:v>137.81456953642385</c:v>
                </c:pt>
                <c:pt idx="1">
                  <c:v>251.08677685950414</c:v>
                </c:pt>
                <c:pt idx="2">
                  <c:v>294.67156862745099</c:v>
                </c:pt>
                <c:pt idx="3">
                  <c:v>320.14868105515586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25-4749-989E-13F568930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706544"/>
        <c:axId val="174117136"/>
      </c:lineChart>
      <c:catAx>
        <c:axId val="2124412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938695855"/>
        <c:crosses val="autoZero"/>
        <c:auto val="1"/>
        <c:lblAlgn val="ctr"/>
        <c:lblOffset val="100"/>
        <c:noMultiLvlLbl val="0"/>
      </c:catAx>
      <c:valAx>
        <c:axId val="193869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2124412431"/>
        <c:crosses val="autoZero"/>
        <c:crossBetween val="between"/>
      </c:valAx>
      <c:valAx>
        <c:axId val="174117136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01706544"/>
        <c:crosses val="max"/>
        <c:crossBetween val="between"/>
      </c:valAx>
      <c:catAx>
        <c:axId val="1017065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41171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[Activity_Merged_Spreadsheet.xlsx]Distribution!PivotTable1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User Activity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Distribution!$B$3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209-4936-A043-2C49EB0CCC5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209-4936-A043-2C49EB0CCC5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209-4936-A043-2C49EB0CCC5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209-4936-A043-2C49EB0CCC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l-G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Distribution!$A$4:$A$8</c:f>
              <c:strCache>
                <c:ptCount val="4"/>
                <c:pt idx="0">
                  <c:v>Sedentary</c:v>
                </c:pt>
                <c:pt idx="1">
                  <c:v>Lightly Active</c:v>
                </c:pt>
                <c:pt idx="2">
                  <c:v>Fairly Active</c:v>
                </c:pt>
                <c:pt idx="3">
                  <c:v>Highly Active</c:v>
                </c:pt>
              </c:strCache>
            </c:strRef>
          </c:cat>
          <c:val>
            <c:numRef>
              <c:f>Distribution!$B$4:$B$8</c:f>
              <c:numCache>
                <c:formatCode>General</c:formatCode>
                <c:ptCount val="4"/>
                <c:pt idx="0">
                  <c:v>302</c:v>
                </c:pt>
                <c:pt idx="1">
                  <c:v>242</c:v>
                </c:pt>
                <c:pt idx="2">
                  <c:v>204</c:v>
                </c:pt>
                <c:pt idx="3">
                  <c:v>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A5-47CC-9778-BD38FB08BE9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pct50">
      <a:fgClr>
        <a:schemeClr val="bg1"/>
      </a:fgClr>
      <a:bgClr>
        <a:schemeClr val="bg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[Activity_Merged_Spreadsheet.xlsx]Weekend_vs_Weekday!PivotTable3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Weekend vs Weekday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Weekend_vs_Weekday!$B$3</c:f>
              <c:strCache>
                <c:ptCount val="1"/>
                <c:pt idx="0">
                  <c:v>Average of TotalSteps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Weekend_vs_Weekday!$A$4:$A$6</c:f>
              <c:strCache>
                <c:ptCount val="2"/>
                <c:pt idx="0">
                  <c:v>Weekend</c:v>
                </c:pt>
                <c:pt idx="1">
                  <c:v>Weekday</c:v>
                </c:pt>
              </c:strCache>
            </c:strRef>
          </c:cat>
          <c:val>
            <c:numRef>
              <c:f>Weekend_vs_Weekday!$B$4:$B$6</c:f>
              <c:numCache>
                <c:formatCode>0</c:formatCode>
                <c:ptCount val="2"/>
                <c:pt idx="0">
                  <c:v>8324.996996996997</c:v>
                </c:pt>
                <c:pt idx="1">
                  <c:v>8418.1935096153848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4E-402D-8460-652A3F403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450032"/>
        <c:axId val="174130096"/>
      </c:barChart>
      <c:lineChart>
        <c:grouping val="standard"/>
        <c:varyColors val="0"/>
        <c:ser>
          <c:idx val="1"/>
          <c:order val="1"/>
          <c:tx>
            <c:strRef>
              <c:f>Weekend_vs_Weekday!$C$3</c:f>
              <c:strCache>
                <c:ptCount val="1"/>
                <c:pt idx="0">
                  <c:v>Average of TotalActivityMinutes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Weekend_vs_Weekday!$A$4:$A$6</c:f>
              <c:strCache>
                <c:ptCount val="2"/>
                <c:pt idx="0">
                  <c:v>Weekend</c:v>
                </c:pt>
                <c:pt idx="1">
                  <c:v>Weekday</c:v>
                </c:pt>
              </c:strCache>
            </c:strRef>
          </c:cat>
          <c:val>
            <c:numRef>
              <c:f>Weekend_vs_Weekday!$C$4:$C$6</c:f>
              <c:numCache>
                <c:formatCode>0.00</c:formatCode>
                <c:ptCount val="2"/>
                <c:pt idx="0">
                  <c:v>255.54654654654655</c:v>
                </c:pt>
                <c:pt idx="1">
                  <c:v>253.48677884615384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4E-402D-8460-652A3F4037EC}"/>
            </c:ext>
          </c:extLst>
        </c:ser>
        <c:ser>
          <c:idx val="2"/>
          <c:order val="2"/>
          <c:tx>
            <c:strRef>
              <c:f>Weekend_vs_Weekday!$D$3</c:f>
              <c:strCache>
                <c:ptCount val="1"/>
                <c:pt idx="0">
                  <c:v>Average of SedentaryMinutes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Weekend_vs_Weekday!$A$4:$A$6</c:f>
              <c:strCache>
                <c:ptCount val="2"/>
                <c:pt idx="0">
                  <c:v>Weekend</c:v>
                </c:pt>
                <c:pt idx="1">
                  <c:v>Weekday</c:v>
                </c:pt>
              </c:strCache>
            </c:strRef>
          </c:cat>
          <c:val>
            <c:numRef>
              <c:f>Weekend_vs_Weekday!$D$4:$D$6</c:f>
              <c:numCache>
                <c:formatCode>0.00</c:formatCode>
                <c:ptCount val="2"/>
                <c:pt idx="0">
                  <c:v>931.99099099099101</c:v>
                </c:pt>
                <c:pt idx="1">
                  <c:v>963.70552884615381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4E-402D-8460-652A3F403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143136"/>
        <c:axId val="174176656"/>
      </c:lineChart>
      <c:catAx>
        <c:axId val="16845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74130096"/>
        <c:crosses val="autoZero"/>
        <c:auto val="1"/>
        <c:lblAlgn val="ctr"/>
        <c:lblOffset val="100"/>
        <c:noMultiLvlLbl val="0"/>
      </c:catAx>
      <c:valAx>
        <c:axId val="174130096"/>
        <c:scaling>
          <c:orientation val="minMax"/>
          <c:min val="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68450032"/>
        <c:crosses val="autoZero"/>
        <c:crossBetween val="between"/>
      </c:valAx>
      <c:valAx>
        <c:axId val="174176656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13143136"/>
        <c:crosses val="max"/>
        <c:crossBetween val="between"/>
      </c:valAx>
      <c:catAx>
        <c:axId val="1131431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41766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3</xdr:row>
      <xdr:rowOff>71436</xdr:rowOff>
    </xdr:from>
    <xdr:to>
      <xdr:col>16</xdr:col>
      <xdr:colOff>561975</xdr:colOff>
      <xdr:row>30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E3CA86-EA56-F657-DDD7-C111E8B29B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1</xdr:row>
      <xdr:rowOff>100011</xdr:rowOff>
    </xdr:from>
    <xdr:to>
      <xdr:col>11</xdr:col>
      <xdr:colOff>381000</xdr:colOff>
      <xdr:row>19</xdr:row>
      <xdr:rowOff>66674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4C9904-CE82-D76A-67E3-DCE83E821C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147636</xdr:colOff>
      <xdr:row>4</xdr:row>
      <xdr:rowOff>138111</xdr:rowOff>
    </xdr:from>
    <xdr:to>
      <xdr:col>16</xdr:col>
      <xdr:colOff>133349</xdr:colOff>
      <xdr:row>27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1B5A90-E52E-DE8E-627F-60AC09748B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88.692713888886" createdVersion="8" refreshedVersion="8" minRefreshableVersion="3" recordCount="1165" xr:uid="{BE70402F-5C6F-4E9C-8B7A-8FE9B801F950}">
  <cacheSource type="worksheet">
    <worksheetSource ref="A1:T1166" sheet="Fitness_Data"/>
  </cacheSource>
  <cacheFields count="20">
    <cacheField name="Id" numFmtId="0">
      <sharedItems containsSemiMixedTypes="0" containsString="0" containsNumber="1" containsInteger="1" minValue="1503960366" maxValue="8877689391"/>
    </cacheField>
    <cacheField name="ActivityDate" numFmtId="164">
      <sharedItems containsSemiMixedTypes="0" containsNonDate="0" containsDate="1" containsString="0" minDate="2016-03-12T00:00:00" maxDate="2016-05-13T00:00:00"/>
    </cacheField>
    <cacheField name="Day_Of_Week" numFmtId="0">
      <sharedItems/>
    </cacheField>
    <cacheField name="Is_Weekend" numFmtId="0">
      <sharedItems count="2">
        <s v="Weekday"/>
        <s v="Weekend"/>
      </sharedItems>
    </cacheField>
    <cacheField name="TotalSteps" numFmtId="0">
      <sharedItems containsSemiMixedTypes="0" containsString="0" containsNumber="1" containsInteger="1" minValue="244" maxValue="36019"/>
    </cacheField>
    <cacheField name="TotalDistance" numFmtId="0">
      <sharedItems containsSemiMixedTypes="0" containsString="0" containsNumber="1" minValue="0.15999999600000001" maxValue="28.030000690000001"/>
    </cacheField>
    <cacheField name="TrackerDistance" numFmtId="0">
      <sharedItems containsSemiMixedTypes="0" containsString="0" containsNumber="1" minValue="0" maxValue="28.030000690000001"/>
    </cacheField>
    <cacheField name="LoggedActivitiesDistance" numFmtId="0">
      <sharedItems containsSemiMixedTypes="0" containsString="0" containsNumber="1" minValue="0" maxValue="6.7270569800000004"/>
    </cacheField>
    <cacheField name="VeryActiveDistance" numFmtId="0">
      <sharedItems containsSemiMixedTypes="0" containsString="0" containsNumber="1" minValue="0" maxValue="21.920000080000001"/>
    </cacheField>
    <cacheField name="ModeratelyActiveDistance" numFmtId="0">
      <sharedItems containsSemiMixedTypes="0" containsString="0" containsNumber="1" minValue="0" maxValue="6.4800000190000002"/>
    </cacheField>
    <cacheField name="LightActiveDistance" numFmtId="0">
      <sharedItems containsSemiMixedTypes="0" containsString="0" containsNumber="1" minValue="0" maxValue="12.510000229999999"/>
    </cacheField>
    <cacheField name="SedentaryActiveDistance" numFmtId="0">
      <sharedItems containsSemiMixedTypes="0" containsString="0" containsNumber="1" minValue="0" maxValue="0.109999999"/>
    </cacheField>
    <cacheField name="VeryActiveMinutes" numFmtId="0">
      <sharedItems containsSemiMixedTypes="0" containsString="0" containsNumber="1" containsInteger="1" minValue="0" maxValue="210"/>
    </cacheField>
    <cacheField name="FairlyActiveMinutes" numFmtId="0">
      <sharedItems containsSemiMixedTypes="0" containsString="0" containsNumber="1" containsInteger="1" minValue="0" maxValue="143"/>
    </cacheField>
    <cacheField name="LightlyActiveMinutes" numFmtId="0">
      <sharedItems containsSemiMixedTypes="0" containsString="0" containsNumber="1" containsInteger="1" minValue="0" maxValue="720"/>
    </cacheField>
    <cacheField name="SedentaryMinutes" numFmtId="0">
      <sharedItems containsSemiMixedTypes="0" containsString="0" containsNumber="1" containsInteger="1" minValue="99" maxValue="1428"/>
    </cacheField>
    <cacheField name="TotalActivityMinutes" numFmtId="0">
      <sharedItems containsSemiMixedTypes="0" containsString="0" containsNumber="1" containsInteger="1" minValue="12" maxValue="720"/>
    </cacheField>
    <cacheField name="TotalWearMinutes" numFmtId="0">
      <sharedItems containsSemiMixedTypes="0" containsString="0" containsNumber="1" containsInteger="1" minValue="600" maxValue="1440"/>
    </cacheField>
    <cacheField name="ActiviytLevel" numFmtId="0">
      <sharedItems count="4">
        <s v="Highly Active"/>
        <s v="Fairly Active"/>
        <s v="Sedentary"/>
        <s v="Lightly Active"/>
      </sharedItems>
    </cacheField>
    <cacheField name="Calories" numFmtId="0">
      <sharedItems containsSemiMixedTypes="0" containsString="0" containsNumber="1" containsInteger="1" minValue="706" maxValue="49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5">
  <r>
    <n v="1503960366"/>
    <d v="2016-03-25T00:00:00"/>
    <s v="Friday"/>
    <x v="0"/>
    <n v="11004"/>
    <n v="7.1100001339999999"/>
    <n v="7.1100001339999999"/>
    <n v="0"/>
    <n v="2.5699999330000001"/>
    <n v="0.46000000800000002"/>
    <n v="4.0700001720000003"/>
    <n v="0"/>
    <n v="33"/>
    <n v="12"/>
    <n v="205"/>
    <n v="804"/>
    <n v="250"/>
    <n v="1054"/>
    <x v="0"/>
    <n v="1819"/>
  </r>
  <r>
    <n v="1503960366"/>
    <d v="2016-03-26T00:00:00"/>
    <s v="Saturday"/>
    <x v="1"/>
    <n v="17609"/>
    <n v="11.55000019"/>
    <n v="11.55000019"/>
    <n v="0"/>
    <n v="6.920000076"/>
    <n v="0.730000019"/>
    <n v="3.9100000860000002"/>
    <n v="0"/>
    <n v="89"/>
    <n v="17"/>
    <n v="274"/>
    <n v="588"/>
    <n v="380"/>
    <n v="968"/>
    <x v="0"/>
    <n v="2154"/>
  </r>
  <r>
    <n v="1503960366"/>
    <d v="2016-03-27T00:00:00"/>
    <s v="Sunday"/>
    <x v="1"/>
    <n v="12736"/>
    <n v="8.5299997330000004"/>
    <n v="8.5299997330000004"/>
    <n v="0"/>
    <n v="4.6599998469999999"/>
    <n v="0.15999999600000001"/>
    <n v="3.710000038"/>
    <n v="0"/>
    <n v="56"/>
    <n v="5"/>
    <n v="268"/>
    <n v="605"/>
    <n v="329"/>
    <n v="934"/>
    <x v="0"/>
    <n v="1944"/>
  </r>
  <r>
    <n v="1503960366"/>
    <d v="2016-03-28T00:00:00"/>
    <s v="Monday"/>
    <x v="0"/>
    <n v="13231"/>
    <n v="8.9300003050000001"/>
    <n v="8.9300003050000001"/>
    <n v="0"/>
    <n v="3.1900000569999998"/>
    <n v="0.790000021"/>
    <n v="4.9499998090000004"/>
    <n v="0"/>
    <n v="39"/>
    <n v="20"/>
    <n v="224"/>
    <n v="1080"/>
    <n v="283"/>
    <n v="1363"/>
    <x v="0"/>
    <n v="1932"/>
  </r>
  <r>
    <n v="1503960366"/>
    <d v="2016-03-29T00:00:00"/>
    <s v="Tuesday"/>
    <x v="0"/>
    <n v="12041"/>
    <n v="7.8499999049999998"/>
    <n v="7.8499999049999998"/>
    <n v="0"/>
    <n v="2.1600000860000002"/>
    <n v="1.0900000329999999"/>
    <n v="4.6100001339999999"/>
    <n v="0"/>
    <n v="28"/>
    <n v="28"/>
    <n v="243"/>
    <n v="763"/>
    <n v="299"/>
    <n v="1062"/>
    <x v="0"/>
    <n v="1886"/>
  </r>
  <r>
    <n v="1503960366"/>
    <d v="2016-03-30T00:00:00"/>
    <s v="Wednesday"/>
    <x v="0"/>
    <n v="10970"/>
    <n v="7.1599998469999999"/>
    <n v="7.1599998469999999"/>
    <n v="0"/>
    <n v="2.3599998950000001"/>
    <n v="0.50999998999999996"/>
    <n v="4.2899999619999996"/>
    <n v="0"/>
    <n v="30"/>
    <n v="13"/>
    <n v="223"/>
    <n v="1174"/>
    <n v="266"/>
    <n v="1440"/>
    <x v="0"/>
    <n v="1820"/>
  </r>
  <r>
    <n v="1503960366"/>
    <d v="2016-03-31T00:00:00"/>
    <s v="Thursday"/>
    <x v="0"/>
    <n v="12256"/>
    <n v="7.8600001339999999"/>
    <n v="7.8600001339999999"/>
    <n v="0"/>
    <n v="2.289999962"/>
    <n v="0.49000000999999999"/>
    <n v="5.0399999619999996"/>
    <n v="0"/>
    <n v="33"/>
    <n v="12"/>
    <n v="239"/>
    <n v="820"/>
    <n v="284"/>
    <n v="1104"/>
    <x v="0"/>
    <n v="1889"/>
  </r>
  <r>
    <n v="1503960366"/>
    <d v="2016-04-01T00:00:00"/>
    <s v="Friday"/>
    <x v="0"/>
    <n v="12262"/>
    <n v="7.8699998860000004"/>
    <n v="7.8699998860000004"/>
    <n v="0"/>
    <n v="3.3199999330000001"/>
    <n v="0.829999983"/>
    <n v="3.6400001049999999"/>
    <n v="0"/>
    <n v="47"/>
    <n v="21"/>
    <n v="200"/>
    <n v="866"/>
    <n v="268"/>
    <n v="1134"/>
    <x v="0"/>
    <n v="1868"/>
  </r>
  <r>
    <n v="1503960366"/>
    <d v="2016-04-02T00:00:00"/>
    <s v="Saturday"/>
    <x v="1"/>
    <n v="11248"/>
    <n v="7.25"/>
    <n v="7.25"/>
    <n v="0"/>
    <n v="3"/>
    <n v="0.44999998800000002"/>
    <n v="3.7400000100000002"/>
    <n v="0"/>
    <n v="40"/>
    <n v="11"/>
    <n v="244"/>
    <n v="636"/>
    <n v="295"/>
    <n v="931"/>
    <x v="0"/>
    <n v="1843"/>
  </r>
  <r>
    <n v="1503960366"/>
    <d v="2016-04-03T00:00:00"/>
    <s v="Sunday"/>
    <x v="1"/>
    <n v="10016"/>
    <n v="6.3699998860000004"/>
    <n v="6.3699998860000004"/>
    <n v="0"/>
    <n v="0.91000002599999996"/>
    <n v="1.2799999710000001"/>
    <n v="4.1799998279999997"/>
    <n v="0"/>
    <n v="15"/>
    <n v="30"/>
    <n v="314"/>
    <n v="655"/>
    <n v="359"/>
    <n v="1014"/>
    <x v="0"/>
    <n v="1850"/>
  </r>
  <r>
    <n v="1503960366"/>
    <d v="2016-04-04T00:00:00"/>
    <s v="Monday"/>
    <x v="0"/>
    <n v="14557"/>
    <n v="9.8000001910000005"/>
    <n v="9.8000001910000005"/>
    <n v="0"/>
    <n v="3.3900001049999999"/>
    <n v="0.69999998799999996"/>
    <n v="5.6900000569999998"/>
    <n v="0"/>
    <n v="43"/>
    <n v="18"/>
    <n v="285"/>
    <n v="757"/>
    <n v="346"/>
    <n v="1103"/>
    <x v="0"/>
    <n v="2030"/>
  </r>
  <r>
    <n v="1503960366"/>
    <d v="2016-04-05T00:00:00"/>
    <s v="Tuesday"/>
    <x v="0"/>
    <n v="14844"/>
    <n v="9.7299995419999998"/>
    <n v="9.7299995419999998"/>
    <n v="0"/>
    <n v="2.9400000569999998"/>
    <n v="0.75999998999999996"/>
    <n v="6.0399999619999996"/>
    <n v="0"/>
    <n v="36"/>
    <n v="18"/>
    <n v="341"/>
    <n v="736"/>
    <n v="395"/>
    <n v="1131"/>
    <x v="0"/>
    <n v="2083"/>
  </r>
  <r>
    <n v="1503960366"/>
    <d v="2016-04-06T00:00:00"/>
    <s v="Wednesday"/>
    <x v="0"/>
    <n v="11974"/>
    <n v="7.670000076"/>
    <n v="7.670000076"/>
    <n v="0"/>
    <n v="2.039999962"/>
    <n v="0.47999998900000002"/>
    <n v="5.1500000950000002"/>
    <n v="0"/>
    <n v="27"/>
    <n v="12"/>
    <n v="228"/>
    <n v="1173"/>
    <n v="267"/>
    <n v="1440"/>
    <x v="0"/>
    <n v="1861"/>
  </r>
  <r>
    <n v="1503960366"/>
    <d v="2016-04-07T00:00:00"/>
    <s v="Thursday"/>
    <x v="0"/>
    <n v="10198"/>
    <n v="6.4400000569999998"/>
    <n v="6.4400000569999998"/>
    <n v="0"/>
    <n v="1.2000000479999999"/>
    <n v="0.790000021"/>
    <n v="4.4499998090000004"/>
    <n v="0"/>
    <n v="17"/>
    <n v="20"/>
    <n v="195"/>
    <n v="1208"/>
    <n v="232"/>
    <n v="1440"/>
    <x v="0"/>
    <n v="1755"/>
  </r>
  <r>
    <n v="1503960366"/>
    <d v="2016-04-08T00:00:00"/>
    <s v="Friday"/>
    <x v="0"/>
    <n v="12521"/>
    <n v="7.9400000569999998"/>
    <n v="7.9400000569999998"/>
    <n v="0"/>
    <n v="3.3099999430000002"/>
    <n v="0.89999997600000003"/>
    <n v="3.7400000100000002"/>
    <n v="0"/>
    <n v="46"/>
    <n v="22"/>
    <n v="212"/>
    <n v="1160"/>
    <n v="280"/>
    <n v="1440"/>
    <x v="0"/>
    <n v="1895"/>
  </r>
  <r>
    <n v="1503960366"/>
    <d v="2016-04-09T00:00:00"/>
    <s v="Saturday"/>
    <x v="1"/>
    <n v="12432"/>
    <n v="8.1000003809999992"/>
    <n v="8.1000003809999992"/>
    <n v="0"/>
    <n v="2.5899999139999998"/>
    <n v="0.58999997400000004"/>
    <n v="4.920000076"/>
    <n v="0"/>
    <n v="32"/>
    <n v="15"/>
    <n v="248"/>
    <n v="738"/>
    <n v="295"/>
    <n v="1033"/>
    <x v="0"/>
    <n v="1883"/>
  </r>
  <r>
    <n v="1503960366"/>
    <d v="2016-04-10T00:00:00"/>
    <s v="Sunday"/>
    <x v="1"/>
    <n v="10057"/>
    <n v="6.9800000190000002"/>
    <n v="6.9800000190000002"/>
    <n v="0"/>
    <n v="4"/>
    <n v="0.49000000999999999"/>
    <n v="2.4800000190000002"/>
    <n v="0"/>
    <n v="44"/>
    <n v="13"/>
    <n v="168"/>
    <n v="737"/>
    <n v="225"/>
    <n v="962"/>
    <x v="0"/>
    <n v="1755"/>
  </r>
  <r>
    <n v="1503960366"/>
    <d v="2016-04-11T00:00:00"/>
    <s v="Monday"/>
    <x v="0"/>
    <n v="10990"/>
    <n v="7.2600002290000001"/>
    <n v="7.2600002290000001"/>
    <n v="0"/>
    <n v="2.039999962"/>
    <n v="0.56999999300000004"/>
    <n v="4.6500000950000002"/>
    <n v="0"/>
    <n v="26"/>
    <n v="14"/>
    <n v="216"/>
    <n v="855"/>
    <n v="256"/>
    <n v="1111"/>
    <x v="0"/>
    <n v="1811"/>
  </r>
  <r>
    <n v="1503960366"/>
    <d v="2016-04-13T00:00:00"/>
    <s v="Wednesday"/>
    <x v="0"/>
    <n v="10735"/>
    <n v="6.9699997900000001"/>
    <n v="6.9699997900000001"/>
    <n v="0"/>
    <n v="1.5700000519999999"/>
    <n v="0.689999998"/>
    <n v="4.7100000380000004"/>
    <n v="0"/>
    <n v="21"/>
    <n v="19"/>
    <n v="217"/>
    <n v="776"/>
    <n v="257"/>
    <n v="1033"/>
    <x v="0"/>
    <n v="1797"/>
  </r>
  <r>
    <n v="1503960366"/>
    <d v="2016-04-14T00:00:00"/>
    <s v="Thursday"/>
    <x v="0"/>
    <n v="10460"/>
    <n v="6.7399997709999999"/>
    <n v="6.7399997709999999"/>
    <n v="0"/>
    <n v="2.4400000569999998"/>
    <n v="0.40000000600000002"/>
    <n v="3.9100000860000002"/>
    <n v="0"/>
    <n v="30"/>
    <n v="11"/>
    <n v="181"/>
    <n v="1218"/>
    <n v="222"/>
    <n v="1440"/>
    <x v="0"/>
    <n v="1776"/>
  </r>
  <r>
    <n v="1503960366"/>
    <d v="2016-04-15T00:00:00"/>
    <s v="Friday"/>
    <x v="0"/>
    <n v="9762"/>
    <n v="6.2800002099999999"/>
    <n v="6.2800002099999999"/>
    <n v="0"/>
    <n v="2.1400001049999999"/>
    <n v="1.2599999900000001"/>
    <n v="2.829999924"/>
    <n v="0"/>
    <n v="29"/>
    <n v="34"/>
    <n v="209"/>
    <n v="726"/>
    <n v="272"/>
    <n v="998"/>
    <x v="1"/>
    <n v="1745"/>
  </r>
  <r>
    <n v="1503960366"/>
    <d v="2016-04-16T00:00:00"/>
    <s v="Saturday"/>
    <x v="1"/>
    <n v="12669"/>
    <n v="8.1599998469999999"/>
    <n v="8.1599998469999999"/>
    <n v="0"/>
    <n v="2.710000038"/>
    <n v="0.40999999599999998"/>
    <n v="5.0399999619999996"/>
    <n v="0"/>
    <n v="36"/>
    <n v="10"/>
    <n v="221"/>
    <n v="773"/>
    <n v="267"/>
    <n v="1040"/>
    <x v="0"/>
    <n v="1863"/>
  </r>
  <r>
    <n v="1503960366"/>
    <d v="2016-04-17T00:00:00"/>
    <s v="Sunday"/>
    <x v="1"/>
    <n v="9705"/>
    <n v="6.4800000190000002"/>
    <n v="6.4800000190000002"/>
    <n v="0"/>
    <n v="3.1900000569999998"/>
    <n v="0.77999997099999996"/>
    <n v="2.5099999899999998"/>
    <n v="0"/>
    <n v="38"/>
    <n v="20"/>
    <n v="164"/>
    <n v="539"/>
    <n v="222"/>
    <n v="761"/>
    <x v="1"/>
    <n v="1728"/>
  </r>
  <r>
    <n v="1503960366"/>
    <d v="2016-04-18T00:00:00"/>
    <s v="Monday"/>
    <x v="0"/>
    <n v="13019"/>
    <n v="8.5900001530000001"/>
    <n v="8.5900001530000001"/>
    <n v="0"/>
    <n v="3.25"/>
    <n v="0.63999998599999997"/>
    <n v="4.7100000380000004"/>
    <n v="0"/>
    <n v="42"/>
    <n v="16"/>
    <n v="233"/>
    <n v="1149"/>
    <n v="291"/>
    <n v="1440"/>
    <x v="0"/>
    <n v="1921"/>
  </r>
  <r>
    <n v="1503960366"/>
    <d v="2016-04-19T00:00:00"/>
    <s v="Tuesday"/>
    <x v="0"/>
    <n v="15506"/>
    <n v="9.8800001139999996"/>
    <n v="9.8800001139999996"/>
    <n v="0"/>
    <n v="3.5299999710000001"/>
    <n v="1.3200000519999999"/>
    <n v="5.0300002099999999"/>
    <n v="0"/>
    <n v="50"/>
    <n v="31"/>
    <n v="264"/>
    <n v="775"/>
    <n v="345"/>
    <n v="1120"/>
    <x v="0"/>
    <n v="2035"/>
  </r>
  <r>
    <n v="1503960366"/>
    <d v="2016-04-20T00:00:00"/>
    <s v="Wednesday"/>
    <x v="0"/>
    <n v="10544"/>
    <n v="6.6799998279999997"/>
    <n v="6.6799998279999997"/>
    <n v="0"/>
    <n v="1.960000038"/>
    <n v="0.47999998900000002"/>
    <n v="4.2399997709999999"/>
    <n v="0"/>
    <n v="28"/>
    <n v="12"/>
    <n v="205"/>
    <n v="818"/>
    <n v="245"/>
    <n v="1063"/>
    <x v="0"/>
    <n v="1786"/>
  </r>
  <r>
    <n v="1503960366"/>
    <d v="2016-04-21T00:00:00"/>
    <s v="Thursday"/>
    <x v="0"/>
    <n v="9819"/>
    <n v="6.3400001530000001"/>
    <n v="6.3400001530000001"/>
    <n v="0"/>
    <n v="1.3400000329999999"/>
    <n v="0.34999999399999998"/>
    <n v="4.6500000950000002"/>
    <n v="0"/>
    <n v="19"/>
    <n v="8"/>
    <n v="211"/>
    <n v="838"/>
    <n v="238"/>
    <n v="1076"/>
    <x v="1"/>
    <n v="1775"/>
  </r>
  <r>
    <n v="1503960366"/>
    <d v="2016-04-22T00:00:00"/>
    <s v="Friday"/>
    <x v="0"/>
    <n v="12764"/>
    <n v="8.1300001139999996"/>
    <n v="8.1300001139999996"/>
    <n v="0"/>
    <n v="4.7600002290000001"/>
    <n v="1.1200000050000001"/>
    <n v="2.2400000100000002"/>
    <n v="0"/>
    <n v="66"/>
    <n v="27"/>
    <n v="130"/>
    <n v="1217"/>
    <n v="223"/>
    <n v="1440"/>
    <x v="0"/>
    <n v="1827"/>
  </r>
  <r>
    <n v="1503960366"/>
    <d v="2016-04-23T00:00:00"/>
    <s v="Saturday"/>
    <x v="1"/>
    <n v="14371"/>
    <n v="9.0399999619999996"/>
    <n v="9.0399999619999996"/>
    <n v="0"/>
    <n v="2.8099999430000002"/>
    <n v="0.87000000499999997"/>
    <n v="5.3600001339999999"/>
    <n v="0"/>
    <n v="41"/>
    <n v="21"/>
    <n v="262"/>
    <n v="732"/>
    <n v="324"/>
    <n v="1056"/>
    <x v="0"/>
    <n v="1949"/>
  </r>
  <r>
    <n v="1503960366"/>
    <d v="2016-04-24T00:00:00"/>
    <s v="Sunday"/>
    <x v="1"/>
    <n v="10039"/>
    <n v="6.4099998469999999"/>
    <n v="6.4099998469999999"/>
    <n v="0"/>
    <n v="2.920000076"/>
    <n v="0.209999993"/>
    <n v="3.2799999710000001"/>
    <n v="0"/>
    <n v="39"/>
    <n v="5"/>
    <n v="238"/>
    <n v="709"/>
    <n v="282"/>
    <n v="991"/>
    <x v="0"/>
    <n v="1788"/>
  </r>
  <r>
    <n v="1503960366"/>
    <d v="2016-04-25T00:00:00"/>
    <s v="Monday"/>
    <x v="0"/>
    <n v="15355"/>
    <n v="9.8000001910000005"/>
    <n v="9.8000001910000005"/>
    <n v="0"/>
    <n v="5.2899999619999996"/>
    <n v="0.56999999300000004"/>
    <n v="3.9400000569999998"/>
    <n v="0"/>
    <n v="73"/>
    <n v="14"/>
    <n v="216"/>
    <n v="814"/>
    <n v="303"/>
    <n v="1117"/>
    <x v="0"/>
    <n v="2013"/>
  </r>
  <r>
    <n v="1503960366"/>
    <d v="2016-04-26T00:00:00"/>
    <s v="Tuesday"/>
    <x v="0"/>
    <n v="13755"/>
    <n v="8.7899999619999996"/>
    <n v="8.7899999619999996"/>
    <n v="0"/>
    <n v="2.329999924"/>
    <n v="0.920000017"/>
    <n v="5.5399999619999996"/>
    <n v="0"/>
    <n v="31"/>
    <n v="23"/>
    <n v="279"/>
    <n v="833"/>
    <n v="333"/>
    <n v="1166"/>
    <x v="0"/>
    <n v="1970"/>
  </r>
  <r>
    <n v="1503960366"/>
    <d v="2016-04-27T00:00:00"/>
    <s v="Wednesday"/>
    <x v="0"/>
    <n v="18134"/>
    <n v="12.210000040000001"/>
    <n v="12.210000040000001"/>
    <n v="0"/>
    <n v="6.4000000950000002"/>
    <n v="0.40999999599999998"/>
    <n v="5.4099998469999999"/>
    <n v="0"/>
    <n v="78"/>
    <n v="11"/>
    <n v="243"/>
    <n v="1108"/>
    <n v="332"/>
    <n v="1440"/>
    <x v="0"/>
    <n v="2159"/>
  </r>
  <r>
    <n v="1503960366"/>
    <d v="2016-04-28T00:00:00"/>
    <s v="Thursday"/>
    <x v="0"/>
    <n v="13154"/>
    <n v="8.5299997330000004"/>
    <n v="8.5299997330000004"/>
    <n v="0"/>
    <n v="3.539999962"/>
    <n v="1.1599999670000001"/>
    <n v="3.789999962"/>
    <n v="0"/>
    <n v="48"/>
    <n v="28"/>
    <n v="189"/>
    <n v="782"/>
    <n v="265"/>
    <n v="1047"/>
    <x v="0"/>
    <n v="1898"/>
  </r>
  <r>
    <n v="1503960366"/>
    <d v="2016-04-29T00:00:00"/>
    <s v="Friday"/>
    <x v="0"/>
    <n v="11181"/>
    <n v="7.1500000950000002"/>
    <n v="7.1500000950000002"/>
    <n v="0"/>
    <n v="1.059999943"/>
    <n v="0.5"/>
    <n v="5.579999924"/>
    <n v="0"/>
    <n v="16"/>
    <n v="12"/>
    <n v="243"/>
    <n v="815"/>
    <n v="271"/>
    <n v="1086"/>
    <x v="0"/>
    <n v="1837"/>
  </r>
  <r>
    <n v="1503960366"/>
    <d v="2016-04-30T00:00:00"/>
    <s v="Saturday"/>
    <x v="1"/>
    <n v="14673"/>
    <n v="9.25"/>
    <n v="9.25"/>
    <n v="0"/>
    <n v="3.5599999430000002"/>
    <n v="1.4199999569999999"/>
    <n v="4.2699999809999998"/>
    <n v="0"/>
    <n v="52"/>
    <n v="34"/>
    <n v="217"/>
    <n v="712"/>
    <n v="303"/>
    <n v="1015"/>
    <x v="0"/>
    <n v="1947"/>
  </r>
  <r>
    <n v="1503960366"/>
    <d v="2016-05-01T00:00:00"/>
    <s v="Sunday"/>
    <x v="1"/>
    <n v="10602"/>
    <n v="6.8099999430000002"/>
    <n v="6.8099999430000002"/>
    <n v="0"/>
    <n v="2.289999962"/>
    <n v="1.6000000240000001"/>
    <n v="2.920000076"/>
    <n v="0"/>
    <n v="33"/>
    <n v="35"/>
    <n v="246"/>
    <n v="730"/>
    <n v="314"/>
    <n v="1044"/>
    <x v="0"/>
    <n v="1820"/>
  </r>
  <r>
    <n v="1503960366"/>
    <d v="2016-05-02T00:00:00"/>
    <s v="Monday"/>
    <x v="0"/>
    <n v="14727"/>
    <n v="9.7100000380000004"/>
    <n v="9.7100000380000004"/>
    <n v="0"/>
    <n v="3.210000038"/>
    <n v="0.56999999300000004"/>
    <n v="5.920000076"/>
    <n v="0"/>
    <n v="41"/>
    <n v="15"/>
    <n v="277"/>
    <n v="798"/>
    <n v="333"/>
    <n v="1131"/>
    <x v="0"/>
    <n v="2004"/>
  </r>
  <r>
    <n v="1503960366"/>
    <d v="2016-05-03T00:00:00"/>
    <s v="Tuesday"/>
    <x v="0"/>
    <n v="15103"/>
    <n v="9.6599998469999999"/>
    <n v="9.6599998469999999"/>
    <n v="0"/>
    <n v="3.7300000190000002"/>
    <n v="1.0499999520000001"/>
    <n v="4.8800001139999996"/>
    <n v="0"/>
    <n v="50"/>
    <n v="24"/>
    <n v="254"/>
    <n v="816"/>
    <n v="328"/>
    <n v="1144"/>
    <x v="0"/>
    <n v="1990"/>
  </r>
  <r>
    <n v="1503960366"/>
    <d v="2016-05-04T00:00:00"/>
    <s v="Wednesday"/>
    <x v="0"/>
    <n v="11100"/>
    <n v="7.1500000950000002"/>
    <n v="7.1500000950000002"/>
    <n v="0"/>
    <n v="2.460000038"/>
    <n v="0.87000000499999997"/>
    <n v="3.8199999330000001"/>
    <n v="0"/>
    <n v="36"/>
    <n v="22"/>
    <n v="203"/>
    <n v="1179"/>
    <n v="261"/>
    <n v="1440"/>
    <x v="0"/>
    <n v="1819"/>
  </r>
  <r>
    <n v="1503960366"/>
    <d v="2016-05-05T00:00:00"/>
    <s v="Thursday"/>
    <x v="0"/>
    <n v="14070"/>
    <n v="8.8999996190000008"/>
    <n v="8.8999996190000008"/>
    <n v="0"/>
    <n v="2.920000076"/>
    <n v="1.0800000430000001"/>
    <n v="4.8800001139999996"/>
    <n v="0"/>
    <n v="45"/>
    <n v="24"/>
    <n v="250"/>
    <n v="857"/>
    <n v="319"/>
    <n v="1176"/>
    <x v="0"/>
    <n v="1959"/>
  </r>
  <r>
    <n v="1503960366"/>
    <d v="2016-05-06T00:00:00"/>
    <s v="Friday"/>
    <x v="0"/>
    <n v="12159"/>
    <n v="8.0299997330000004"/>
    <n v="8.0299997330000004"/>
    <n v="0"/>
    <n v="1.9700000289999999"/>
    <n v="0.25"/>
    <n v="5.8099999430000002"/>
    <n v="0"/>
    <n v="24"/>
    <n v="6"/>
    <n v="289"/>
    <n v="754"/>
    <n v="319"/>
    <n v="1073"/>
    <x v="0"/>
    <n v="1896"/>
  </r>
  <r>
    <n v="1503960366"/>
    <d v="2016-05-07T00:00:00"/>
    <s v="Saturday"/>
    <x v="1"/>
    <n v="11992"/>
    <n v="7.7100000380000004"/>
    <n v="7.7100000380000004"/>
    <n v="0"/>
    <n v="2.460000038"/>
    <n v="2.119999886"/>
    <n v="3.130000114"/>
    <n v="0"/>
    <n v="37"/>
    <n v="46"/>
    <n v="175"/>
    <n v="833"/>
    <n v="258"/>
    <n v="1091"/>
    <x v="0"/>
    <n v="1821"/>
  </r>
  <r>
    <n v="1503960366"/>
    <d v="2016-05-08T00:00:00"/>
    <s v="Sunday"/>
    <x v="1"/>
    <n v="10060"/>
    <n v="6.579999924"/>
    <n v="6.579999924"/>
    <n v="0"/>
    <n v="3.5299999710000001"/>
    <n v="0.31999999299999998"/>
    <n v="2.7300000190000002"/>
    <n v="0"/>
    <n v="44"/>
    <n v="8"/>
    <n v="203"/>
    <n v="574"/>
    <n v="255"/>
    <n v="829"/>
    <x v="0"/>
    <n v="1740"/>
  </r>
  <r>
    <n v="1503960366"/>
    <d v="2016-05-09T00:00:00"/>
    <s v="Monday"/>
    <x v="0"/>
    <n v="12022"/>
    <n v="7.7199997900000001"/>
    <n v="7.7199997900000001"/>
    <n v="0"/>
    <n v="3.4500000480000002"/>
    <n v="0.52999997099999996"/>
    <n v="3.7400000100000002"/>
    <n v="0"/>
    <n v="46"/>
    <n v="11"/>
    <n v="206"/>
    <n v="835"/>
    <n v="263"/>
    <n v="1098"/>
    <x v="0"/>
    <n v="1819"/>
  </r>
  <r>
    <n v="1503960366"/>
    <d v="2016-05-10T00:00:00"/>
    <s v="Tuesday"/>
    <x v="0"/>
    <n v="12207"/>
    <n v="7.7699999809999998"/>
    <n v="7.7699999809999998"/>
    <n v="0"/>
    <n v="3.3499999049999998"/>
    <n v="1.1599999670000001"/>
    <n v="3.2599999899999998"/>
    <n v="0"/>
    <n v="46"/>
    <n v="31"/>
    <n v="214"/>
    <n v="746"/>
    <n v="291"/>
    <n v="1037"/>
    <x v="0"/>
    <n v="1859"/>
  </r>
  <r>
    <n v="1503960366"/>
    <d v="2016-05-11T00:00:00"/>
    <s v="Wednesday"/>
    <x v="0"/>
    <n v="12770"/>
    <n v="8.1300001139999996"/>
    <n v="8.1300001139999996"/>
    <n v="0"/>
    <n v="2.5599999430000002"/>
    <n v="1.0099999900000001"/>
    <n v="4.5500001909999996"/>
    <n v="0"/>
    <n v="36"/>
    <n v="23"/>
    <n v="251"/>
    <n v="669"/>
    <n v="310"/>
    <n v="979"/>
    <x v="0"/>
    <n v="1783"/>
  </r>
  <r>
    <n v="1624580081"/>
    <d v="2016-03-25T00:00:00"/>
    <s v="Friday"/>
    <x v="0"/>
    <n v="1810"/>
    <n v="1.1799999480000001"/>
    <n v="1.1799999480000001"/>
    <n v="0"/>
    <n v="0"/>
    <n v="0"/>
    <n v="1.1299999949999999"/>
    <n v="0.01"/>
    <n v="0"/>
    <n v="0"/>
    <n v="121"/>
    <n v="1319"/>
    <n v="121"/>
    <n v="1440"/>
    <x v="2"/>
    <n v="1373"/>
  </r>
  <r>
    <n v="1624580081"/>
    <d v="2016-03-26T00:00:00"/>
    <s v="Saturday"/>
    <x v="1"/>
    <n v="815"/>
    <n v="0.52999997099999996"/>
    <n v="0.52999997099999996"/>
    <n v="0"/>
    <n v="0"/>
    <n v="0"/>
    <n v="0.52999997099999996"/>
    <n v="0"/>
    <n v="0"/>
    <n v="0"/>
    <n v="47"/>
    <n v="1393"/>
    <n v="47"/>
    <n v="1440"/>
    <x v="2"/>
    <n v="1264"/>
  </r>
  <r>
    <n v="1624580081"/>
    <d v="2016-03-27T00:00:00"/>
    <s v="Sunday"/>
    <x v="1"/>
    <n v="1985"/>
    <n v="1.289999962"/>
    <n v="1.289999962"/>
    <n v="0"/>
    <n v="0"/>
    <n v="0"/>
    <n v="1.2799999710000001"/>
    <n v="0.01"/>
    <n v="0"/>
    <n v="0"/>
    <n v="112"/>
    <n v="1328"/>
    <n v="112"/>
    <n v="1440"/>
    <x v="2"/>
    <n v="1350"/>
  </r>
  <r>
    <n v="1624580081"/>
    <d v="2016-03-28T00:00:00"/>
    <s v="Monday"/>
    <x v="0"/>
    <n v="1905"/>
    <n v="1.2400000099999999"/>
    <n v="1.2400000099999999"/>
    <n v="0"/>
    <n v="0"/>
    <n v="0"/>
    <n v="1.2400000099999999"/>
    <n v="0"/>
    <n v="0"/>
    <n v="0"/>
    <n v="95"/>
    <n v="1345"/>
    <n v="95"/>
    <n v="1440"/>
    <x v="2"/>
    <n v="1342"/>
  </r>
  <r>
    <n v="1624580081"/>
    <d v="2016-03-29T00:00:00"/>
    <s v="Tuesday"/>
    <x v="0"/>
    <n v="1552"/>
    <n v="1.0099999900000001"/>
    <n v="1.0099999900000001"/>
    <n v="0"/>
    <n v="0"/>
    <n v="0"/>
    <n v="1"/>
    <n v="0"/>
    <n v="0"/>
    <n v="0"/>
    <n v="66"/>
    <n v="1374"/>
    <n v="66"/>
    <n v="1440"/>
    <x v="2"/>
    <n v="1300"/>
  </r>
  <r>
    <n v="1624580081"/>
    <d v="2016-03-30T00:00:00"/>
    <s v="Wednesday"/>
    <x v="0"/>
    <n v="1675"/>
    <n v="1.0900000329999999"/>
    <n v="1.0900000329999999"/>
    <n v="0"/>
    <n v="0"/>
    <n v="0"/>
    <n v="1.0900000329999999"/>
    <n v="0"/>
    <n v="0"/>
    <n v="0"/>
    <n v="84"/>
    <n v="1356"/>
    <n v="84"/>
    <n v="1440"/>
    <x v="2"/>
    <n v="1313"/>
  </r>
  <r>
    <n v="1624580081"/>
    <d v="2016-03-31T00:00:00"/>
    <s v="Thursday"/>
    <x v="0"/>
    <n v="4506"/>
    <n v="2.9300000669999999"/>
    <n v="2.9300000669999999"/>
    <n v="0"/>
    <n v="0.50999998999999996"/>
    <n v="0.27000001099999998"/>
    <n v="2.1500000950000002"/>
    <n v="0.01"/>
    <n v="7"/>
    <n v="4"/>
    <n v="144"/>
    <n v="1285"/>
    <n v="155"/>
    <n v="1440"/>
    <x v="2"/>
    <n v="1498"/>
  </r>
  <r>
    <n v="1624580081"/>
    <d v="2016-04-01T00:00:00"/>
    <s v="Friday"/>
    <x v="0"/>
    <n v="9218"/>
    <n v="5.9899997709999999"/>
    <n v="5.9899997709999999"/>
    <n v="0"/>
    <n v="0"/>
    <n v="0"/>
    <n v="5.9699997900000001"/>
    <n v="0.01"/>
    <n v="0"/>
    <n v="0"/>
    <n v="221"/>
    <n v="1219"/>
    <n v="221"/>
    <n v="1440"/>
    <x v="1"/>
    <n v="1541"/>
  </r>
  <r>
    <n v="1624580081"/>
    <d v="2016-04-02T00:00:00"/>
    <s v="Saturday"/>
    <x v="1"/>
    <n v="1556"/>
    <n v="1.0099999900000001"/>
    <n v="1.0099999900000001"/>
    <n v="0"/>
    <n v="0"/>
    <n v="0"/>
    <n v="1.0099999900000001"/>
    <n v="0.01"/>
    <n v="0"/>
    <n v="0"/>
    <n v="88"/>
    <n v="1352"/>
    <n v="88"/>
    <n v="1440"/>
    <x v="2"/>
    <n v="1327"/>
  </r>
  <r>
    <n v="1624580081"/>
    <d v="2016-04-03T00:00:00"/>
    <s v="Sunday"/>
    <x v="1"/>
    <n v="2910"/>
    <n v="1.8899999860000001"/>
    <n v="1.8899999860000001"/>
    <n v="0"/>
    <n v="0"/>
    <n v="0"/>
    <n v="1.8799999949999999"/>
    <n v="0.01"/>
    <n v="0"/>
    <n v="0"/>
    <n v="157"/>
    <n v="1283"/>
    <n v="157"/>
    <n v="1440"/>
    <x v="2"/>
    <n v="1452"/>
  </r>
  <r>
    <n v="1624580081"/>
    <d v="2016-04-04T00:00:00"/>
    <s v="Monday"/>
    <x v="0"/>
    <n v="18464"/>
    <n v="12"/>
    <n v="12"/>
    <n v="0"/>
    <n v="0"/>
    <n v="0"/>
    <n v="12"/>
    <n v="0"/>
    <n v="0"/>
    <n v="0"/>
    <n v="270"/>
    <n v="1170"/>
    <n v="270"/>
    <n v="1440"/>
    <x v="0"/>
    <n v="1574"/>
  </r>
  <r>
    <n v="1624580081"/>
    <d v="2016-04-05T00:00:00"/>
    <s v="Tuesday"/>
    <x v="0"/>
    <n v="1335"/>
    <n v="0.87000000499999997"/>
    <n v="0.87000000499999997"/>
    <n v="0"/>
    <n v="0"/>
    <n v="0"/>
    <n v="0.87000000499999997"/>
    <n v="0"/>
    <n v="0"/>
    <n v="0"/>
    <n v="74"/>
    <n v="1366"/>
    <n v="74"/>
    <n v="1440"/>
    <x v="2"/>
    <n v="1308"/>
  </r>
  <r>
    <n v="1624580081"/>
    <d v="2016-04-06T00:00:00"/>
    <s v="Wednesday"/>
    <x v="0"/>
    <n v="1004"/>
    <n v="0.64999997600000003"/>
    <n v="0.64999997600000003"/>
    <n v="0"/>
    <n v="0"/>
    <n v="0"/>
    <n v="0.64999997600000003"/>
    <n v="0"/>
    <n v="0"/>
    <n v="0"/>
    <n v="55"/>
    <n v="1385"/>
    <n v="55"/>
    <n v="1440"/>
    <x v="2"/>
    <n v="1276"/>
  </r>
  <r>
    <n v="1624580081"/>
    <d v="2016-04-07T00:00:00"/>
    <s v="Thursday"/>
    <x v="0"/>
    <n v="1111"/>
    <n v="0.72000002900000004"/>
    <n v="0.72000002900000004"/>
    <n v="0"/>
    <n v="0"/>
    <n v="0"/>
    <n v="0.72000002900000004"/>
    <n v="0"/>
    <n v="0"/>
    <n v="0"/>
    <n v="54"/>
    <n v="1386"/>
    <n v="54"/>
    <n v="1440"/>
    <x v="2"/>
    <n v="1278"/>
  </r>
  <r>
    <n v="1624580081"/>
    <d v="2016-04-08T00:00:00"/>
    <s v="Friday"/>
    <x v="0"/>
    <n v="6344"/>
    <n v="4.1199998860000004"/>
    <n v="4.1199998860000004"/>
    <n v="0"/>
    <n v="0"/>
    <n v="0"/>
    <n v="4.0999999049999998"/>
    <n v="0"/>
    <n v="0"/>
    <n v="0"/>
    <n v="143"/>
    <n v="1297"/>
    <n v="143"/>
    <n v="1440"/>
    <x v="3"/>
    <n v="1409"/>
  </r>
  <r>
    <n v="1624580081"/>
    <d v="2016-04-09T00:00:00"/>
    <s v="Saturday"/>
    <x v="1"/>
    <n v="3572"/>
    <n v="2.3199999330000001"/>
    <n v="2.3199999330000001"/>
    <n v="0"/>
    <n v="0"/>
    <n v="0"/>
    <n v="2.289999962"/>
    <n v="2.9999998999999999E-2"/>
    <n v="0"/>
    <n v="0"/>
    <n v="122"/>
    <n v="1318"/>
    <n v="122"/>
    <n v="1440"/>
    <x v="2"/>
    <n v="1370"/>
  </r>
  <r>
    <n v="1624580081"/>
    <d v="2016-04-10T00:00:00"/>
    <s v="Sunday"/>
    <x v="1"/>
    <n v="3910"/>
    <n v="2.539999962"/>
    <n v="2.539999962"/>
    <n v="0"/>
    <n v="0.469999999"/>
    <n v="0.25"/>
    <n v="1.809999943"/>
    <n v="0.01"/>
    <n v="7"/>
    <n v="7"/>
    <n v="186"/>
    <n v="1240"/>
    <n v="200"/>
    <n v="1440"/>
    <x v="2"/>
    <n v="1555"/>
  </r>
  <r>
    <n v="1624580081"/>
    <d v="2016-04-11T00:00:00"/>
    <s v="Monday"/>
    <x v="0"/>
    <n v="10000"/>
    <n v="6.5"/>
    <n v="6.5"/>
    <n v="0"/>
    <n v="0"/>
    <n v="0"/>
    <n v="6.5"/>
    <n v="0"/>
    <n v="0"/>
    <n v="0"/>
    <n v="172"/>
    <n v="1268"/>
    <n v="172"/>
    <n v="1440"/>
    <x v="0"/>
    <n v="1469"/>
  </r>
  <r>
    <n v="1624580081"/>
    <d v="2016-04-12T00:00:00"/>
    <s v="Tuesday"/>
    <x v="0"/>
    <n v="6627"/>
    <n v="4.3099999430000002"/>
    <n v="4.3099999430000002"/>
    <n v="0"/>
    <n v="0"/>
    <n v="0"/>
    <n v="4.3099999430000002"/>
    <n v="0"/>
    <n v="0"/>
    <n v="0"/>
    <n v="89"/>
    <n v="604"/>
    <n v="89"/>
    <n v="693"/>
    <x v="3"/>
    <n v="706"/>
  </r>
  <r>
    <n v="1624580081"/>
    <d v="2016-04-13T00:00:00"/>
    <s v="Wednesday"/>
    <x v="0"/>
    <n v="7007"/>
    <n v="4.5500001909999996"/>
    <n v="4.5500001909999996"/>
    <n v="0"/>
    <n v="0"/>
    <n v="0"/>
    <n v="4.5500001909999996"/>
    <n v="0"/>
    <n v="0"/>
    <n v="0"/>
    <n v="148"/>
    <n v="1292"/>
    <n v="148"/>
    <n v="1440"/>
    <x v="3"/>
    <n v="1411"/>
  </r>
  <r>
    <n v="1624580081"/>
    <d v="2016-04-14T00:00:00"/>
    <s v="Thursday"/>
    <x v="0"/>
    <n v="9107"/>
    <n v="5.920000076"/>
    <n v="5.920000076"/>
    <n v="0"/>
    <n v="0"/>
    <n v="0"/>
    <n v="5.9099998469999999"/>
    <n v="0.01"/>
    <n v="0"/>
    <n v="0"/>
    <n v="236"/>
    <n v="1204"/>
    <n v="236"/>
    <n v="1440"/>
    <x v="1"/>
    <n v="1572"/>
  </r>
  <r>
    <n v="1624580081"/>
    <d v="2016-04-15T00:00:00"/>
    <s v="Friday"/>
    <x v="0"/>
    <n v="1510"/>
    <n v="0.980000019"/>
    <n v="0.980000019"/>
    <n v="0"/>
    <n v="0"/>
    <n v="0"/>
    <n v="0.97000002900000004"/>
    <n v="0"/>
    <n v="0"/>
    <n v="0"/>
    <n v="96"/>
    <n v="1344"/>
    <n v="96"/>
    <n v="1440"/>
    <x v="2"/>
    <n v="1344"/>
  </r>
  <r>
    <n v="1624580081"/>
    <d v="2016-04-16T00:00:00"/>
    <s v="Saturday"/>
    <x v="1"/>
    <n v="5370"/>
    <n v="3.4900000100000002"/>
    <n v="3.4900000100000002"/>
    <n v="0"/>
    <n v="0"/>
    <n v="0"/>
    <n v="3.4900000100000002"/>
    <n v="0"/>
    <n v="0"/>
    <n v="0"/>
    <n v="176"/>
    <n v="1264"/>
    <n v="176"/>
    <n v="1440"/>
    <x v="3"/>
    <n v="1463"/>
  </r>
  <r>
    <n v="1624580081"/>
    <d v="2016-04-17T00:00:00"/>
    <s v="Sunday"/>
    <x v="1"/>
    <n v="6175"/>
    <n v="4.0599999430000002"/>
    <n v="4.0599999430000002"/>
    <n v="0"/>
    <n v="1.0299999710000001"/>
    <n v="1.519999981"/>
    <n v="1.4900000099999999"/>
    <n v="0.01"/>
    <n v="15"/>
    <n v="22"/>
    <n v="127"/>
    <n v="1276"/>
    <n v="164"/>
    <n v="1440"/>
    <x v="3"/>
    <n v="1554"/>
  </r>
  <r>
    <n v="1624580081"/>
    <d v="2016-04-18T00:00:00"/>
    <s v="Monday"/>
    <x v="0"/>
    <n v="10536"/>
    <n v="7.4099998469999999"/>
    <n v="7.4099998469999999"/>
    <n v="0"/>
    <n v="2.1500000950000002"/>
    <n v="0.62000000499999997"/>
    <n v="4.6199998860000004"/>
    <n v="0.01"/>
    <n v="17"/>
    <n v="7"/>
    <n v="202"/>
    <n v="1214"/>
    <n v="226"/>
    <n v="1440"/>
    <x v="0"/>
    <n v="1604"/>
  </r>
  <r>
    <n v="1624580081"/>
    <d v="2016-04-19T00:00:00"/>
    <s v="Tuesday"/>
    <x v="0"/>
    <n v="2916"/>
    <n v="1.8999999759999999"/>
    <n v="1.8999999759999999"/>
    <n v="0"/>
    <n v="0"/>
    <n v="0"/>
    <n v="1.8999999759999999"/>
    <n v="0"/>
    <n v="0"/>
    <n v="0"/>
    <n v="141"/>
    <n v="1299"/>
    <n v="141"/>
    <n v="1440"/>
    <x v="2"/>
    <n v="1435"/>
  </r>
  <r>
    <n v="1624580081"/>
    <d v="2016-04-20T00:00:00"/>
    <s v="Wednesday"/>
    <x v="0"/>
    <n v="4974"/>
    <n v="3.2300000190000002"/>
    <n v="3.2300000190000002"/>
    <n v="0"/>
    <n v="0"/>
    <n v="0"/>
    <n v="3.2300000190000002"/>
    <n v="0"/>
    <n v="0"/>
    <n v="0"/>
    <n v="151"/>
    <n v="1289"/>
    <n v="151"/>
    <n v="1440"/>
    <x v="2"/>
    <n v="1446"/>
  </r>
  <r>
    <n v="1624580081"/>
    <d v="2016-04-21T00:00:00"/>
    <s v="Thursday"/>
    <x v="0"/>
    <n v="6349"/>
    <n v="4.1300001139999996"/>
    <n v="4.1300001139999996"/>
    <n v="0"/>
    <n v="0"/>
    <n v="0"/>
    <n v="4.1100001339999999"/>
    <n v="0.02"/>
    <n v="0"/>
    <n v="0"/>
    <n v="186"/>
    <n v="1254"/>
    <n v="186"/>
    <n v="1440"/>
    <x v="3"/>
    <n v="1467"/>
  </r>
  <r>
    <n v="1624580081"/>
    <d v="2016-04-22T00:00:00"/>
    <s v="Friday"/>
    <x v="0"/>
    <n v="4026"/>
    <n v="2.619999886"/>
    <n v="2.619999886"/>
    <n v="0"/>
    <n v="0"/>
    <n v="0"/>
    <n v="2.5999999049999998"/>
    <n v="0"/>
    <n v="0"/>
    <n v="0"/>
    <n v="199"/>
    <n v="1241"/>
    <n v="199"/>
    <n v="1440"/>
    <x v="2"/>
    <n v="1470"/>
  </r>
  <r>
    <n v="1624580081"/>
    <d v="2016-04-23T00:00:00"/>
    <s v="Saturday"/>
    <x v="1"/>
    <n v="8538"/>
    <n v="5.5500001909999996"/>
    <n v="5.5500001909999996"/>
    <n v="0"/>
    <n v="0"/>
    <n v="0"/>
    <n v="5.5399999619999996"/>
    <n v="0.01"/>
    <n v="0"/>
    <n v="0"/>
    <n v="227"/>
    <n v="1213"/>
    <n v="227"/>
    <n v="1440"/>
    <x v="1"/>
    <n v="1562"/>
  </r>
  <r>
    <n v="1624580081"/>
    <d v="2016-04-24T00:00:00"/>
    <s v="Sunday"/>
    <x v="1"/>
    <n v="6076"/>
    <n v="3.9500000480000002"/>
    <n v="3.9500000480000002"/>
    <n v="0"/>
    <n v="1.1499999759999999"/>
    <n v="0.91000002599999996"/>
    <n v="1.8899999860000001"/>
    <n v="0"/>
    <n v="16"/>
    <n v="18"/>
    <n v="185"/>
    <n v="1221"/>
    <n v="219"/>
    <n v="1440"/>
    <x v="3"/>
    <n v="1617"/>
  </r>
  <r>
    <n v="1624580081"/>
    <d v="2016-04-25T00:00:00"/>
    <s v="Monday"/>
    <x v="0"/>
    <n v="6497"/>
    <n v="4.2199997900000001"/>
    <n v="4.2199997900000001"/>
    <n v="0"/>
    <n v="0"/>
    <n v="0"/>
    <n v="4.1999998090000004"/>
    <n v="0.02"/>
    <n v="0"/>
    <n v="0"/>
    <n v="202"/>
    <n v="1238"/>
    <n v="202"/>
    <n v="1440"/>
    <x v="3"/>
    <n v="1492"/>
  </r>
  <r>
    <n v="1624580081"/>
    <d v="2016-04-26T00:00:00"/>
    <s v="Tuesday"/>
    <x v="0"/>
    <n v="2826"/>
    <n v="1.8400000329999999"/>
    <n v="1.8400000329999999"/>
    <n v="0"/>
    <n v="0"/>
    <n v="0"/>
    <n v="1.8300000430000001"/>
    <n v="0.01"/>
    <n v="0"/>
    <n v="0"/>
    <n v="140"/>
    <n v="1300"/>
    <n v="140"/>
    <n v="1440"/>
    <x v="2"/>
    <n v="1402"/>
  </r>
  <r>
    <n v="1624580081"/>
    <d v="2016-04-27T00:00:00"/>
    <s v="Wednesday"/>
    <x v="0"/>
    <n v="8367"/>
    <n v="5.4400000569999998"/>
    <n v="5.4400000569999998"/>
    <n v="0"/>
    <n v="1.1100000139999999"/>
    <n v="1.8700000050000001"/>
    <n v="2.460000038"/>
    <n v="0"/>
    <n v="17"/>
    <n v="36"/>
    <n v="154"/>
    <n v="1233"/>
    <n v="207"/>
    <n v="1440"/>
    <x v="1"/>
    <n v="1670"/>
  </r>
  <r>
    <n v="1624580081"/>
    <d v="2016-04-28T00:00:00"/>
    <s v="Thursday"/>
    <x v="0"/>
    <n v="2759"/>
    <n v="1.789999962"/>
    <n v="1.789999962"/>
    <n v="0"/>
    <n v="0"/>
    <n v="0.20000000300000001"/>
    <n v="1.6000000240000001"/>
    <n v="0"/>
    <n v="0"/>
    <n v="5"/>
    <n v="115"/>
    <n v="1320"/>
    <n v="120"/>
    <n v="1440"/>
    <x v="2"/>
    <n v="1401"/>
  </r>
  <r>
    <n v="1624580081"/>
    <d v="2016-04-29T00:00:00"/>
    <s v="Friday"/>
    <x v="0"/>
    <n v="2390"/>
    <n v="1.5499999520000001"/>
    <n v="1.5499999520000001"/>
    <n v="0"/>
    <n v="0"/>
    <n v="0"/>
    <n v="1.5499999520000001"/>
    <n v="0"/>
    <n v="0"/>
    <n v="0"/>
    <n v="150"/>
    <n v="1290"/>
    <n v="150"/>
    <n v="1440"/>
    <x v="2"/>
    <n v="1404"/>
  </r>
  <r>
    <n v="1624580081"/>
    <d v="2016-04-30T00:00:00"/>
    <s v="Saturday"/>
    <x v="1"/>
    <n v="6474"/>
    <n v="4.3000001909999996"/>
    <n v="4.3000001909999996"/>
    <n v="0"/>
    <n v="0.89999997600000003"/>
    <n v="1.2799999710000001"/>
    <n v="2.119999886"/>
    <n v="0.01"/>
    <n v="11"/>
    <n v="23"/>
    <n v="224"/>
    <n v="1182"/>
    <n v="258"/>
    <n v="1440"/>
    <x v="3"/>
    <n v="1655"/>
  </r>
  <r>
    <n v="1624580081"/>
    <d v="2016-05-01T00:00:00"/>
    <s v="Sunday"/>
    <x v="1"/>
    <n v="36019"/>
    <n v="28.030000690000001"/>
    <n v="28.030000690000001"/>
    <n v="0"/>
    <n v="21.920000080000001"/>
    <n v="4.1900000569999998"/>
    <n v="1.9099999670000001"/>
    <n v="0.02"/>
    <n v="186"/>
    <n v="63"/>
    <n v="171"/>
    <n v="1020"/>
    <n v="420"/>
    <n v="1440"/>
    <x v="0"/>
    <n v="2690"/>
  </r>
  <r>
    <n v="1624580081"/>
    <d v="2016-05-02T00:00:00"/>
    <s v="Monday"/>
    <x v="0"/>
    <n v="7155"/>
    <n v="4.9299998279999997"/>
    <n v="4.9299998279999997"/>
    <n v="0"/>
    <n v="0.86000001400000003"/>
    <n v="0.58999997400000004"/>
    <n v="3.4700000289999999"/>
    <n v="0"/>
    <n v="7"/>
    <n v="6"/>
    <n v="166"/>
    <n v="1261"/>
    <n v="179"/>
    <n v="1440"/>
    <x v="3"/>
    <n v="1497"/>
  </r>
  <r>
    <n v="1624580081"/>
    <d v="2016-05-03T00:00:00"/>
    <s v="Tuesday"/>
    <x v="0"/>
    <n v="2100"/>
    <n v="1.3700000050000001"/>
    <n v="1.3700000050000001"/>
    <n v="0"/>
    <n v="0"/>
    <n v="0"/>
    <n v="1.3400000329999999"/>
    <n v="0.02"/>
    <n v="0"/>
    <n v="0"/>
    <n v="96"/>
    <n v="1344"/>
    <n v="96"/>
    <n v="1440"/>
    <x v="2"/>
    <n v="1334"/>
  </r>
  <r>
    <n v="1624580081"/>
    <d v="2016-05-04T00:00:00"/>
    <s v="Wednesday"/>
    <x v="0"/>
    <n v="2193"/>
    <n v="1.4299999480000001"/>
    <n v="1.4299999480000001"/>
    <n v="0"/>
    <n v="0"/>
    <n v="0"/>
    <n v="1.4199999569999999"/>
    <n v="0"/>
    <n v="0"/>
    <n v="0"/>
    <n v="118"/>
    <n v="1322"/>
    <n v="118"/>
    <n v="1440"/>
    <x v="2"/>
    <n v="1368"/>
  </r>
  <r>
    <n v="1624580081"/>
    <d v="2016-05-05T00:00:00"/>
    <s v="Thursday"/>
    <x v="0"/>
    <n v="2470"/>
    <n v="1.6100000139999999"/>
    <n v="1.6100000139999999"/>
    <n v="0"/>
    <n v="0"/>
    <n v="0"/>
    <n v="1.5800000430000001"/>
    <n v="0.02"/>
    <n v="0"/>
    <n v="0"/>
    <n v="117"/>
    <n v="1323"/>
    <n v="117"/>
    <n v="1440"/>
    <x v="2"/>
    <n v="1370"/>
  </r>
  <r>
    <n v="1624580081"/>
    <d v="2016-05-06T00:00:00"/>
    <s v="Friday"/>
    <x v="0"/>
    <n v="1727"/>
    <n v="1.1200000050000001"/>
    <n v="1.1200000050000001"/>
    <n v="0"/>
    <n v="0"/>
    <n v="0"/>
    <n v="1.1200000050000001"/>
    <n v="0.01"/>
    <n v="0"/>
    <n v="0"/>
    <n v="102"/>
    <n v="1338"/>
    <n v="102"/>
    <n v="1440"/>
    <x v="2"/>
    <n v="1341"/>
  </r>
  <r>
    <n v="1624580081"/>
    <d v="2016-05-07T00:00:00"/>
    <s v="Saturday"/>
    <x v="1"/>
    <n v="2104"/>
    <n v="1.3700000050000001"/>
    <n v="1.3700000050000001"/>
    <n v="0"/>
    <n v="0"/>
    <n v="0"/>
    <n v="1.3700000050000001"/>
    <n v="0"/>
    <n v="0"/>
    <n v="0"/>
    <n v="182"/>
    <n v="1258"/>
    <n v="182"/>
    <n v="1440"/>
    <x v="2"/>
    <n v="1474"/>
  </r>
  <r>
    <n v="1624580081"/>
    <d v="2016-05-08T00:00:00"/>
    <s v="Sunday"/>
    <x v="1"/>
    <n v="3427"/>
    <n v="2.2300000190000002"/>
    <n v="2.2300000190000002"/>
    <n v="0"/>
    <n v="0"/>
    <n v="0"/>
    <n v="2.2200000289999999"/>
    <n v="0"/>
    <n v="0"/>
    <n v="0"/>
    <n v="152"/>
    <n v="1288"/>
    <n v="152"/>
    <n v="1440"/>
    <x v="2"/>
    <n v="1427"/>
  </r>
  <r>
    <n v="1624580081"/>
    <d v="2016-05-09T00:00:00"/>
    <s v="Monday"/>
    <x v="0"/>
    <n v="1732"/>
    <n v="1.1299999949999999"/>
    <n v="1.1299999949999999"/>
    <n v="0"/>
    <n v="0"/>
    <n v="0"/>
    <n v="1.1299999949999999"/>
    <n v="0"/>
    <n v="0"/>
    <n v="0"/>
    <n v="91"/>
    <n v="1349"/>
    <n v="91"/>
    <n v="1440"/>
    <x v="2"/>
    <n v="1328"/>
  </r>
  <r>
    <n v="1624580081"/>
    <d v="2016-05-10T00:00:00"/>
    <s v="Tuesday"/>
    <x v="0"/>
    <n v="2969"/>
    <n v="1.9299999480000001"/>
    <n v="1.9299999480000001"/>
    <n v="0"/>
    <n v="0"/>
    <n v="0"/>
    <n v="1.9199999569999999"/>
    <n v="0.01"/>
    <n v="0"/>
    <n v="0"/>
    <n v="139"/>
    <n v="1301"/>
    <n v="139"/>
    <n v="1440"/>
    <x v="2"/>
    <n v="1393"/>
  </r>
  <r>
    <n v="1624580081"/>
    <d v="2016-05-11T00:00:00"/>
    <s v="Wednesday"/>
    <x v="0"/>
    <n v="3134"/>
    <n v="2.039999962"/>
    <n v="2.039999962"/>
    <n v="0"/>
    <n v="0"/>
    <n v="0"/>
    <n v="2.039999962"/>
    <n v="0"/>
    <n v="0"/>
    <n v="0"/>
    <n v="112"/>
    <n v="1328"/>
    <n v="112"/>
    <n v="1440"/>
    <x v="2"/>
    <n v="1359"/>
  </r>
  <r>
    <n v="1624580081"/>
    <d v="2016-05-12T00:00:00"/>
    <s v="Thursday"/>
    <x v="0"/>
    <n v="2971"/>
    <n v="1.9299999480000001"/>
    <n v="1.9299999480000001"/>
    <n v="0"/>
    <n v="0"/>
    <n v="0"/>
    <n v="1.9199999569999999"/>
    <n v="0.01"/>
    <n v="0"/>
    <n v="0"/>
    <n v="107"/>
    <n v="890"/>
    <n v="107"/>
    <n v="997"/>
    <x v="2"/>
    <n v="1002"/>
  </r>
  <r>
    <n v="1644430081"/>
    <d v="2016-04-01T00:00:00"/>
    <s v="Friday"/>
    <x v="0"/>
    <n v="4636"/>
    <n v="3.4100000860000002"/>
    <n v="3.4100000860000002"/>
    <n v="0"/>
    <n v="0"/>
    <n v="0.77999997099999996"/>
    <n v="2.5999999049999998"/>
    <n v="2.9999998999999999E-2"/>
    <n v="0"/>
    <n v="16"/>
    <n v="586"/>
    <n v="838"/>
    <n v="602"/>
    <n v="1440"/>
    <x v="2"/>
    <n v="3323"/>
  </r>
  <r>
    <n v="1644430081"/>
    <d v="2016-04-02T00:00:00"/>
    <s v="Saturday"/>
    <x v="1"/>
    <n v="20237"/>
    <n v="14.710000040000001"/>
    <n v="14.710000040000001"/>
    <n v="0"/>
    <n v="2.5699999330000001"/>
    <n v="6.4000000950000002"/>
    <n v="5.7300000190000002"/>
    <n v="0.01"/>
    <n v="34"/>
    <n v="141"/>
    <n v="347"/>
    <n v="918"/>
    <n v="522"/>
    <n v="1440"/>
    <x v="0"/>
    <n v="4029"/>
  </r>
  <r>
    <n v="1644430081"/>
    <d v="2016-04-03T00:00:00"/>
    <s v="Sunday"/>
    <x v="1"/>
    <n v="12912"/>
    <n v="9.4099998469999999"/>
    <n v="9.4099998469999999"/>
    <n v="0"/>
    <n v="4.829999924"/>
    <n v="0.769999981"/>
    <n v="3.789999962"/>
    <n v="2.9999998999999999E-2"/>
    <n v="59"/>
    <n v="16"/>
    <n v="283"/>
    <n v="1082"/>
    <n v="358"/>
    <n v="1440"/>
    <x v="0"/>
    <n v="3436"/>
  </r>
  <r>
    <n v="1644430081"/>
    <d v="2016-04-04T00:00:00"/>
    <s v="Monday"/>
    <x v="0"/>
    <n v="2819"/>
    <n v="2.0499999519999998"/>
    <n v="2.0499999519999998"/>
    <n v="0"/>
    <n v="0.310000002"/>
    <n v="0.17000000200000001"/>
    <n v="1.559999943"/>
    <n v="0.01"/>
    <n v="4"/>
    <n v="4"/>
    <n v="87"/>
    <n v="1345"/>
    <n v="95"/>
    <n v="1440"/>
    <x v="2"/>
    <n v="2444"/>
  </r>
  <r>
    <n v="1644430081"/>
    <d v="2016-04-05T00:00:00"/>
    <s v="Tuesday"/>
    <x v="0"/>
    <n v="9921"/>
    <n v="7.2100000380000004"/>
    <n v="7.2100000380000004"/>
    <n v="0"/>
    <n v="0.34000000400000002"/>
    <n v="1.519999981"/>
    <n v="5.3600001339999999"/>
    <n v="0"/>
    <n v="5"/>
    <n v="35"/>
    <n v="219"/>
    <n v="1181"/>
    <n v="259"/>
    <n v="1440"/>
    <x v="1"/>
    <n v="3098"/>
  </r>
  <r>
    <n v="1644430081"/>
    <d v="2016-04-06T00:00:00"/>
    <s v="Wednesday"/>
    <x v="0"/>
    <n v="8046"/>
    <n v="5.8499999049999998"/>
    <n v="5.8499999049999998"/>
    <n v="0"/>
    <n v="1.289999962"/>
    <n v="2.119999886"/>
    <n v="2.4500000480000002"/>
    <n v="0"/>
    <n v="18"/>
    <n v="41"/>
    <n v="137"/>
    <n v="1244"/>
    <n v="196"/>
    <n v="1440"/>
    <x v="1"/>
    <n v="2925"/>
  </r>
  <r>
    <n v="1644430081"/>
    <d v="2016-04-07T00:00:00"/>
    <s v="Thursday"/>
    <x v="0"/>
    <n v="11166"/>
    <n v="8.1199998860000004"/>
    <n v="8.1199998860000004"/>
    <n v="0"/>
    <n v="0.209999993"/>
    <n v="2.4100000860000002"/>
    <n v="5.5"/>
    <n v="0"/>
    <n v="3"/>
    <n v="58"/>
    <n v="230"/>
    <n v="1149"/>
    <n v="291"/>
    <n v="1440"/>
    <x v="0"/>
    <n v="3202"/>
  </r>
  <r>
    <n v="1644430081"/>
    <d v="2016-04-08T00:00:00"/>
    <s v="Friday"/>
    <x v="0"/>
    <n v="7842"/>
    <n v="5.6999998090000004"/>
    <n v="5.6999998090000004"/>
    <n v="0"/>
    <n v="0.47999998900000002"/>
    <n v="2.4100000860000002"/>
    <n v="2.8099999430000002"/>
    <n v="0"/>
    <n v="7"/>
    <n v="43"/>
    <n v="161"/>
    <n v="1229"/>
    <n v="211"/>
    <n v="1440"/>
    <x v="1"/>
    <n v="2928"/>
  </r>
  <r>
    <n v="1644430081"/>
    <d v="2016-04-09T00:00:00"/>
    <s v="Saturday"/>
    <x v="1"/>
    <n v="13840"/>
    <n v="10.06000042"/>
    <n v="10.06000042"/>
    <n v="0"/>
    <n v="1.309999943"/>
    <n v="3.7200000289999999"/>
    <n v="5.0300002099999999"/>
    <n v="0"/>
    <n v="18"/>
    <n v="81"/>
    <n v="192"/>
    <n v="1149"/>
    <n v="291"/>
    <n v="1440"/>
    <x v="0"/>
    <n v="3290"/>
  </r>
  <r>
    <n v="1644430081"/>
    <d v="2016-04-12T00:00:00"/>
    <s v="Tuesday"/>
    <x v="0"/>
    <n v="10694"/>
    <n v="7.7699999809999998"/>
    <n v="7.7699999809999998"/>
    <n v="0"/>
    <n v="0.14000000100000001"/>
    <n v="2.2999999519999998"/>
    <n v="5.329999924"/>
    <n v="0"/>
    <n v="2"/>
    <n v="51"/>
    <n v="256"/>
    <n v="1131"/>
    <n v="309"/>
    <n v="1440"/>
    <x v="0"/>
    <n v="3199"/>
  </r>
  <r>
    <n v="1644430081"/>
    <d v="2016-04-13T00:00:00"/>
    <s v="Wednesday"/>
    <x v="0"/>
    <n v="8001"/>
    <n v="5.8200001720000003"/>
    <n v="5.8200001720000003"/>
    <n v="0"/>
    <n v="2.2799999710000001"/>
    <n v="0.89999997600000003"/>
    <n v="2.6400001049999999"/>
    <n v="0"/>
    <n v="30"/>
    <n v="16"/>
    <n v="135"/>
    <n v="1259"/>
    <n v="181"/>
    <n v="1440"/>
    <x v="1"/>
    <n v="2902"/>
  </r>
  <r>
    <n v="1644430081"/>
    <d v="2016-04-14T00:00:00"/>
    <s v="Thursday"/>
    <x v="0"/>
    <n v="11037"/>
    <n v="8.0200004580000002"/>
    <n v="8.0200004580000002"/>
    <n v="0"/>
    <n v="0.36000001399999998"/>
    <n v="2.5599999430000002"/>
    <n v="5.0999999049999998"/>
    <n v="0"/>
    <n v="5"/>
    <n v="58"/>
    <n v="252"/>
    <n v="1125"/>
    <n v="315"/>
    <n v="1440"/>
    <x v="0"/>
    <n v="3226"/>
  </r>
  <r>
    <n v="1644430081"/>
    <d v="2016-04-15T00:00:00"/>
    <s v="Friday"/>
    <x v="0"/>
    <n v="5263"/>
    <n v="3.829999924"/>
    <n v="3.829999924"/>
    <n v="0"/>
    <n v="0.219999999"/>
    <n v="0.15000000599999999"/>
    <n v="3.4500000480000002"/>
    <n v="0"/>
    <n v="3"/>
    <n v="4"/>
    <n v="170"/>
    <n v="1263"/>
    <n v="177"/>
    <n v="1440"/>
    <x v="3"/>
    <n v="2750"/>
  </r>
  <r>
    <n v="1644430081"/>
    <d v="2016-04-16T00:00:00"/>
    <s v="Saturday"/>
    <x v="1"/>
    <n v="15300"/>
    <n v="11.119999890000001"/>
    <n v="11.119999890000001"/>
    <n v="0"/>
    <n v="4.0999999049999998"/>
    <n v="1.8799999949999999"/>
    <n v="5.0900001530000001"/>
    <n v="0"/>
    <n v="51"/>
    <n v="42"/>
    <n v="212"/>
    <n v="1135"/>
    <n v="305"/>
    <n v="1440"/>
    <x v="0"/>
    <n v="3493"/>
  </r>
  <r>
    <n v="1644430081"/>
    <d v="2016-04-17T00:00:00"/>
    <s v="Sunday"/>
    <x v="1"/>
    <n v="8757"/>
    <n v="6.3699998860000004"/>
    <n v="6.3699998860000004"/>
    <n v="0"/>
    <n v="2.25"/>
    <n v="0.56999999300000004"/>
    <n v="3.5499999519999998"/>
    <n v="0"/>
    <n v="29"/>
    <n v="13"/>
    <n v="186"/>
    <n v="1212"/>
    <n v="228"/>
    <n v="1440"/>
    <x v="1"/>
    <n v="3011"/>
  </r>
  <r>
    <n v="1644430081"/>
    <d v="2016-04-18T00:00:00"/>
    <s v="Monday"/>
    <x v="0"/>
    <n v="7132"/>
    <n v="5.1900000569999998"/>
    <n v="5.1900000569999998"/>
    <n v="0"/>
    <n v="1.0700000519999999"/>
    <n v="1.6699999569999999"/>
    <n v="2.4500000480000002"/>
    <n v="0"/>
    <n v="15"/>
    <n v="33"/>
    <n v="121"/>
    <n v="1271"/>
    <n v="169"/>
    <n v="1440"/>
    <x v="3"/>
    <n v="2806"/>
  </r>
  <r>
    <n v="1644430081"/>
    <d v="2016-04-19T00:00:00"/>
    <s v="Tuesday"/>
    <x v="0"/>
    <n v="11256"/>
    <n v="8.1800003050000001"/>
    <n v="8.1800003050000001"/>
    <n v="0"/>
    <n v="0.36000001399999998"/>
    <n v="2.5299999710000001"/>
    <n v="5.3000001909999996"/>
    <n v="0"/>
    <n v="5"/>
    <n v="58"/>
    <n v="278"/>
    <n v="1099"/>
    <n v="341"/>
    <n v="1440"/>
    <x v="0"/>
    <n v="3300"/>
  </r>
  <r>
    <n v="1644430081"/>
    <d v="2016-04-20T00:00:00"/>
    <s v="Wednesday"/>
    <x v="0"/>
    <n v="2436"/>
    <n v="1.769999981"/>
    <n v="1.769999981"/>
    <n v="0"/>
    <n v="0"/>
    <n v="0"/>
    <n v="1.7599999900000001"/>
    <n v="0.01"/>
    <n v="0"/>
    <n v="0"/>
    <n v="125"/>
    <n v="1315"/>
    <n v="125"/>
    <n v="1440"/>
    <x v="2"/>
    <n v="2430"/>
  </r>
  <r>
    <n v="1644430081"/>
    <d v="2016-04-21T00:00:00"/>
    <s v="Thursday"/>
    <x v="0"/>
    <n v="1223"/>
    <n v="0.88999998599999997"/>
    <n v="0.88999998599999997"/>
    <n v="0"/>
    <n v="0"/>
    <n v="0"/>
    <n v="0.87999999500000003"/>
    <n v="0.01"/>
    <n v="0"/>
    <n v="0"/>
    <n v="38"/>
    <n v="1402"/>
    <n v="38"/>
    <n v="1440"/>
    <x v="2"/>
    <n v="2140"/>
  </r>
  <r>
    <n v="1644430081"/>
    <d v="2016-04-22T00:00:00"/>
    <s v="Friday"/>
    <x v="0"/>
    <n v="3673"/>
    <n v="2.670000076"/>
    <n v="2.670000076"/>
    <n v="0"/>
    <n v="0"/>
    <n v="0"/>
    <n v="2.6600000860000002"/>
    <n v="0.01"/>
    <n v="0"/>
    <n v="0"/>
    <n v="86"/>
    <n v="1354"/>
    <n v="86"/>
    <n v="1440"/>
    <x v="2"/>
    <n v="2344"/>
  </r>
  <r>
    <n v="1644430081"/>
    <d v="2016-04-23T00:00:00"/>
    <s v="Saturday"/>
    <x v="1"/>
    <n v="6637"/>
    <n v="4.829999924"/>
    <n v="4.829999924"/>
    <n v="0"/>
    <n v="0"/>
    <n v="0.579999983"/>
    <n v="4.25"/>
    <n v="0"/>
    <n v="0"/>
    <n v="15"/>
    <n v="160"/>
    <n v="1265"/>
    <n v="175"/>
    <n v="1440"/>
    <x v="3"/>
    <n v="2677"/>
  </r>
  <r>
    <n v="1644430081"/>
    <d v="2016-04-24T00:00:00"/>
    <s v="Sunday"/>
    <x v="1"/>
    <n v="3321"/>
    <n v="2.4100000860000002"/>
    <n v="2.4100000860000002"/>
    <n v="0"/>
    <n v="0"/>
    <n v="0"/>
    <n v="2.4100000860000002"/>
    <n v="0"/>
    <n v="0"/>
    <n v="0"/>
    <n v="89"/>
    <n v="1351"/>
    <n v="89"/>
    <n v="1440"/>
    <x v="2"/>
    <n v="2413"/>
  </r>
  <r>
    <n v="1644430081"/>
    <d v="2016-04-25T00:00:00"/>
    <s v="Monday"/>
    <x v="0"/>
    <n v="3580"/>
    <n v="2.5999999049999998"/>
    <n v="2.5999999049999998"/>
    <n v="0"/>
    <n v="0.58999997400000004"/>
    <n v="5.9999998999999998E-2"/>
    <n v="1.9500000479999999"/>
    <n v="0"/>
    <n v="8"/>
    <n v="1"/>
    <n v="94"/>
    <n v="1337"/>
    <n v="103"/>
    <n v="1440"/>
    <x v="2"/>
    <n v="2497"/>
  </r>
  <r>
    <n v="1644430081"/>
    <d v="2016-04-26T00:00:00"/>
    <s v="Tuesday"/>
    <x v="0"/>
    <n v="9919"/>
    <n v="7.2100000380000004"/>
    <n v="7.2100000380000004"/>
    <n v="0"/>
    <n v="0.80000001200000004"/>
    <n v="1.7200000289999999"/>
    <n v="4.6900000569999998"/>
    <n v="0"/>
    <n v="11"/>
    <n v="41"/>
    <n v="223"/>
    <n v="1165"/>
    <n v="275"/>
    <n v="1440"/>
    <x v="1"/>
    <n v="3123"/>
  </r>
  <r>
    <n v="1644430081"/>
    <d v="2016-04-27T00:00:00"/>
    <s v="Wednesday"/>
    <x v="0"/>
    <n v="3032"/>
    <n v="2.2000000480000002"/>
    <n v="2.2000000480000002"/>
    <n v="0"/>
    <n v="0"/>
    <n v="0"/>
    <n v="2.2000000480000002"/>
    <n v="0"/>
    <n v="0"/>
    <n v="0"/>
    <n v="118"/>
    <n v="1322"/>
    <n v="118"/>
    <n v="1440"/>
    <x v="2"/>
    <n v="2489"/>
  </r>
  <r>
    <n v="1644430081"/>
    <d v="2016-04-28T00:00:00"/>
    <s v="Thursday"/>
    <x v="0"/>
    <n v="9405"/>
    <n v="6.8400001530000001"/>
    <n v="6.8400001530000001"/>
    <n v="0"/>
    <n v="0.20000000300000001"/>
    <n v="2.3199999330000001"/>
    <n v="4.3099999430000002"/>
    <n v="0"/>
    <n v="3"/>
    <n v="53"/>
    <n v="227"/>
    <n v="1157"/>
    <n v="283"/>
    <n v="1440"/>
    <x v="1"/>
    <n v="3108"/>
  </r>
  <r>
    <n v="1644430081"/>
    <d v="2016-04-29T00:00:00"/>
    <s v="Friday"/>
    <x v="0"/>
    <n v="3176"/>
    <n v="2.3099999430000002"/>
    <n v="2.3099999430000002"/>
    <n v="0"/>
    <n v="0"/>
    <n v="0"/>
    <n v="2.3099999430000002"/>
    <n v="0"/>
    <n v="0"/>
    <n v="0"/>
    <n v="120"/>
    <n v="1193"/>
    <n v="120"/>
    <n v="1313"/>
    <x v="2"/>
    <n v="2498"/>
  </r>
  <r>
    <n v="1644430081"/>
    <d v="2016-04-30T00:00:00"/>
    <s v="Saturday"/>
    <x v="1"/>
    <n v="18213"/>
    <n v="13.239999770000001"/>
    <n v="13.239999770000001"/>
    <n v="0"/>
    <n v="0.62999999500000003"/>
    <n v="3.1400001049999999"/>
    <n v="9.4600000380000004"/>
    <n v="0"/>
    <n v="9"/>
    <n v="71"/>
    <n v="402"/>
    <n v="816"/>
    <n v="482"/>
    <n v="1298"/>
    <x v="0"/>
    <n v="3846"/>
  </r>
  <r>
    <n v="1644430081"/>
    <d v="2016-05-01T00:00:00"/>
    <s v="Sunday"/>
    <x v="1"/>
    <n v="6132"/>
    <n v="4.4600000380000004"/>
    <n v="4.4600000380000004"/>
    <n v="0"/>
    <n v="0.23999999499999999"/>
    <n v="0.99000001000000004"/>
    <n v="3.2300000190000002"/>
    <n v="0"/>
    <n v="3"/>
    <n v="24"/>
    <n v="146"/>
    <n v="908"/>
    <n v="173"/>
    <n v="1081"/>
    <x v="3"/>
    <n v="2696"/>
  </r>
  <r>
    <n v="1644430081"/>
    <d v="2016-05-02T00:00:00"/>
    <s v="Monday"/>
    <x v="0"/>
    <n v="3758"/>
    <n v="2.7300000190000002"/>
    <n v="2.7300000190000002"/>
    <n v="0"/>
    <n v="7.0000000000000007E-2"/>
    <n v="0.310000002"/>
    <n v="2.3499999049999998"/>
    <n v="0"/>
    <n v="1"/>
    <n v="7"/>
    <n v="148"/>
    <n v="682"/>
    <n v="156"/>
    <n v="838"/>
    <x v="2"/>
    <n v="2580"/>
  </r>
  <r>
    <n v="1644430081"/>
    <d v="2016-05-03T00:00:00"/>
    <s v="Tuesday"/>
    <x v="0"/>
    <n v="12850"/>
    <n v="9.3400001530000001"/>
    <n v="9.3400001530000001"/>
    <n v="0"/>
    <n v="0.72000002900000004"/>
    <n v="4.0900001530000001"/>
    <n v="4.5399999619999996"/>
    <n v="0"/>
    <n v="10"/>
    <n v="94"/>
    <n v="221"/>
    <n v="1115"/>
    <n v="325"/>
    <n v="1440"/>
    <x v="0"/>
    <n v="3324"/>
  </r>
  <r>
    <n v="1644430081"/>
    <d v="2016-05-04T00:00:00"/>
    <s v="Wednesday"/>
    <x v="0"/>
    <n v="2309"/>
    <n v="1.6799999480000001"/>
    <n v="1.6799999480000001"/>
    <n v="0"/>
    <n v="0"/>
    <n v="0"/>
    <n v="1.6599999670000001"/>
    <n v="0.02"/>
    <n v="0"/>
    <n v="0"/>
    <n v="52"/>
    <n v="1388"/>
    <n v="52"/>
    <n v="1440"/>
    <x v="2"/>
    <n v="2222"/>
  </r>
  <r>
    <n v="1644430081"/>
    <d v="2016-05-05T00:00:00"/>
    <s v="Thursday"/>
    <x v="0"/>
    <n v="4363"/>
    <n v="3.1900000569999998"/>
    <n v="3.1900000569999998"/>
    <n v="0"/>
    <n v="0.519999981"/>
    <n v="0.540000021"/>
    <n v="2.130000114"/>
    <n v="0.01"/>
    <n v="6"/>
    <n v="12"/>
    <n v="81"/>
    <n v="1341"/>
    <n v="99"/>
    <n v="1440"/>
    <x v="2"/>
    <n v="2463"/>
  </r>
  <r>
    <n v="1644430081"/>
    <d v="2016-05-06T00:00:00"/>
    <s v="Friday"/>
    <x v="0"/>
    <n v="9787"/>
    <n v="7.1199998860000004"/>
    <n v="7.1199998860000004"/>
    <n v="0"/>
    <n v="0.81999999300000004"/>
    <n v="0.27000001099999998"/>
    <n v="6.0100002290000001"/>
    <n v="0.02"/>
    <n v="11"/>
    <n v="6"/>
    <n v="369"/>
    <n v="1054"/>
    <n v="386"/>
    <n v="1440"/>
    <x v="1"/>
    <n v="3328"/>
  </r>
  <r>
    <n v="1644430081"/>
    <d v="2016-05-07T00:00:00"/>
    <s v="Saturday"/>
    <x v="1"/>
    <n v="13372"/>
    <n v="9.7200002669999996"/>
    <n v="9.7200002669999996"/>
    <n v="0"/>
    <n v="3.2599999899999998"/>
    <n v="0.790000021"/>
    <n v="5.670000076"/>
    <n v="0.01"/>
    <n v="41"/>
    <n v="17"/>
    <n v="243"/>
    <n v="1139"/>
    <n v="301"/>
    <n v="1440"/>
    <x v="0"/>
    <n v="3404"/>
  </r>
  <r>
    <n v="1644430081"/>
    <d v="2016-05-08T00:00:00"/>
    <s v="Sunday"/>
    <x v="1"/>
    <n v="6724"/>
    <n v="4.8899998660000001"/>
    <n v="4.8899998660000001"/>
    <n v="0"/>
    <n v="0"/>
    <n v="0"/>
    <n v="4.8800001139999996"/>
    <n v="0"/>
    <n v="0"/>
    <n v="0"/>
    <n v="295"/>
    <n v="991"/>
    <n v="295"/>
    <n v="1286"/>
    <x v="3"/>
    <n v="2987"/>
  </r>
  <r>
    <n v="1644430081"/>
    <d v="2016-05-09T00:00:00"/>
    <s v="Monday"/>
    <x v="0"/>
    <n v="6643"/>
    <n v="4.829999924"/>
    <n v="4.829999924"/>
    <n v="0"/>
    <n v="2.3900001049999999"/>
    <n v="0.34999999399999998"/>
    <n v="2.0899999139999998"/>
    <n v="0.01"/>
    <n v="32"/>
    <n v="6"/>
    <n v="303"/>
    <n v="1099"/>
    <n v="341"/>
    <n v="1440"/>
    <x v="3"/>
    <n v="3008"/>
  </r>
  <r>
    <n v="1644430081"/>
    <d v="2016-05-10T00:00:00"/>
    <s v="Tuesday"/>
    <x v="0"/>
    <n v="9167"/>
    <n v="6.6599998469999999"/>
    <n v="6.6599998469999999"/>
    <n v="0"/>
    <n v="0.87999999500000003"/>
    <n v="0.810000002"/>
    <n v="4.9699997900000001"/>
    <n v="0.01"/>
    <n v="12"/>
    <n v="19"/>
    <n v="155"/>
    <n v="1254"/>
    <n v="186"/>
    <n v="1440"/>
    <x v="1"/>
    <n v="2799"/>
  </r>
  <r>
    <n v="1644430081"/>
    <d v="2016-05-11T00:00:00"/>
    <s v="Wednesday"/>
    <x v="0"/>
    <n v="1329"/>
    <n v="0.97000002900000004"/>
    <n v="0.97000002900000004"/>
    <n v="0"/>
    <n v="0"/>
    <n v="0"/>
    <n v="0.94999998799999996"/>
    <n v="0.01"/>
    <n v="0"/>
    <n v="0"/>
    <n v="49"/>
    <n v="713"/>
    <n v="49"/>
    <n v="762"/>
    <x v="2"/>
    <n v="1276"/>
  </r>
  <r>
    <n v="1844505072"/>
    <d v="2016-04-01T00:00:00"/>
    <s v="Friday"/>
    <x v="0"/>
    <n v="6847"/>
    <n v="4.5300002099999999"/>
    <n v="4.5300002099999999"/>
    <n v="0"/>
    <n v="0.61000001400000003"/>
    <n v="0.37000000500000002"/>
    <n v="3.5499999519999998"/>
    <n v="0"/>
    <n v="9"/>
    <n v="9"/>
    <n v="251"/>
    <n v="1171"/>
    <n v="269"/>
    <n v="1440"/>
    <x v="3"/>
    <n v="1969"/>
  </r>
  <r>
    <n v="1844505072"/>
    <d v="2016-04-02T00:00:00"/>
    <s v="Saturday"/>
    <x v="1"/>
    <n v="5367"/>
    <n v="3.5499999519999998"/>
    <n v="3.5499999519999998"/>
    <n v="0"/>
    <n v="0"/>
    <n v="0"/>
    <n v="3.5499999519999998"/>
    <n v="0"/>
    <n v="0"/>
    <n v="0"/>
    <n v="263"/>
    <n v="1177"/>
    <n v="263"/>
    <n v="1440"/>
    <x v="3"/>
    <n v="1889"/>
  </r>
  <r>
    <n v="1844505072"/>
    <d v="2016-04-03T00:00:00"/>
    <s v="Sunday"/>
    <x v="1"/>
    <n v="2841"/>
    <n v="1.8799999949999999"/>
    <n v="1.8799999949999999"/>
    <n v="0"/>
    <n v="0"/>
    <n v="0"/>
    <n v="1.8799999949999999"/>
    <n v="0"/>
    <n v="0"/>
    <n v="0"/>
    <n v="136"/>
    <n v="1114"/>
    <n v="136"/>
    <n v="1250"/>
    <x v="2"/>
    <n v="1636"/>
  </r>
  <r>
    <n v="1844505072"/>
    <d v="2016-04-07T00:00:00"/>
    <s v="Thursday"/>
    <x v="0"/>
    <n v="6344"/>
    <n v="4.1900000569999998"/>
    <n v="4.1900000569999998"/>
    <n v="0"/>
    <n v="0"/>
    <n v="0"/>
    <n v="4.1900000569999998"/>
    <n v="0"/>
    <n v="0"/>
    <n v="0"/>
    <n v="290"/>
    <n v="1150"/>
    <n v="290"/>
    <n v="1440"/>
    <x v="3"/>
    <n v="1965"/>
  </r>
  <r>
    <n v="1844505072"/>
    <d v="2016-04-08T00:00:00"/>
    <s v="Friday"/>
    <x v="0"/>
    <n v="5316"/>
    <n v="3.5099999899999998"/>
    <n v="3.5099999899999998"/>
    <n v="0"/>
    <n v="0"/>
    <n v="0"/>
    <n v="3.5099999899999998"/>
    <n v="0"/>
    <n v="0"/>
    <n v="0"/>
    <n v="221"/>
    <n v="1219"/>
    <n v="221"/>
    <n v="1440"/>
    <x v="3"/>
    <n v="1824"/>
  </r>
  <r>
    <n v="1844505072"/>
    <d v="2016-04-09T00:00:00"/>
    <s v="Saturday"/>
    <x v="1"/>
    <n v="4979"/>
    <n v="3.289999962"/>
    <n v="3.289999962"/>
    <n v="0"/>
    <n v="0"/>
    <n v="0"/>
    <n v="3.289999962"/>
    <n v="0"/>
    <n v="0"/>
    <n v="0"/>
    <n v="184"/>
    <n v="620"/>
    <n v="184"/>
    <n v="804"/>
    <x v="2"/>
    <n v="1807"/>
  </r>
  <r>
    <n v="1844505072"/>
    <d v="2016-04-10T00:00:00"/>
    <s v="Sunday"/>
    <x v="1"/>
    <n v="6556"/>
    <n v="4.3400001530000001"/>
    <n v="4.3400001530000001"/>
    <n v="0"/>
    <n v="0"/>
    <n v="0"/>
    <n v="4.329999924"/>
    <n v="0"/>
    <n v="0"/>
    <n v="0"/>
    <n v="305"/>
    <n v="810"/>
    <n v="305"/>
    <n v="1115"/>
    <x v="3"/>
    <n v="1971"/>
  </r>
  <r>
    <n v="1844505072"/>
    <d v="2016-04-11T00:00:00"/>
    <s v="Monday"/>
    <x v="0"/>
    <n v="5430"/>
    <n v="3.5899999139999998"/>
    <n v="3.5899999139999998"/>
    <n v="0"/>
    <n v="0"/>
    <n v="0"/>
    <n v="3.5899999139999998"/>
    <n v="0"/>
    <n v="0"/>
    <n v="0"/>
    <n v="251"/>
    <n v="1189"/>
    <n v="251"/>
    <n v="1440"/>
    <x v="3"/>
    <n v="1888"/>
  </r>
  <r>
    <n v="1844505072"/>
    <d v="2016-04-13T00:00:00"/>
    <s v="Wednesday"/>
    <x v="0"/>
    <n v="4929"/>
    <n v="3.2599999899999998"/>
    <n v="3.2599999899999998"/>
    <n v="0"/>
    <n v="0"/>
    <n v="0"/>
    <n v="3.2599999899999998"/>
    <n v="0"/>
    <n v="0"/>
    <n v="0"/>
    <n v="248"/>
    <n v="1192"/>
    <n v="248"/>
    <n v="1440"/>
    <x v="2"/>
    <n v="1860"/>
  </r>
  <r>
    <n v="1844505072"/>
    <d v="2016-04-14T00:00:00"/>
    <s v="Thursday"/>
    <x v="0"/>
    <n v="7937"/>
    <n v="5.25"/>
    <n v="5.25"/>
    <n v="0"/>
    <n v="0"/>
    <n v="0"/>
    <n v="5.2300000190000002"/>
    <n v="0"/>
    <n v="0"/>
    <n v="0"/>
    <n v="373"/>
    <n v="843"/>
    <n v="373"/>
    <n v="1216"/>
    <x v="1"/>
    <n v="2130"/>
  </r>
  <r>
    <n v="1844505072"/>
    <d v="2016-04-15T00:00:00"/>
    <s v="Friday"/>
    <x v="0"/>
    <n v="3844"/>
    <n v="2.539999962"/>
    <n v="2.539999962"/>
    <n v="0"/>
    <n v="0"/>
    <n v="0"/>
    <n v="2.539999962"/>
    <n v="0"/>
    <n v="0"/>
    <n v="0"/>
    <n v="176"/>
    <n v="527"/>
    <n v="176"/>
    <n v="703"/>
    <x v="2"/>
    <n v="1725"/>
  </r>
  <r>
    <n v="1844505072"/>
    <d v="2016-04-16T00:00:00"/>
    <s v="Saturday"/>
    <x v="1"/>
    <n v="3414"/>
    <n v="2.2599999899999998"/>
    <n v="2.2599999899999998"/>
    <n v="0"/>
    <n v="0"/>
    <n v="0"/>
    <n v="2.2599999899999998"/>
    <n v="0"/>
    <n v="0"/>
    <n v="0"/>
    <n v="147"/>
    <n v="1293"/>
    <n v="147"/>
    <n v="1440"/>
    <x v="2"/>
    <n v="1657"/>
  </r>
  <r>
    <n v="1844505072"/>
    <d v="2016-04-17T00:00:00"/>
    <s v="Sunday"/>
    <x v="1"/>
    <n v="4525"/>
    <n v="2.9900000100000002"/>
    <n v="2.9900000100000002"/>
    <n v="0"/>
    <n v="0.14000000100000001"/>
    <n v="0.25999999000000001"/>
    <n v="2.5899999139999998"/>
    <n v="0"/>
    <n v="2"/>
    <n v="8"/>
    <n v="199"/>
    <n v="1231"/>
    <n v="209"/>
    <n v="1440"/>
    <x v="2"/>
    <n v="1793"/>
  </r>
  <r>
    <n v="1844505072"/>
    <d v="2016-04-18T00:00:00"/>
    <s v="Monday"/>
    <x v="0"/>
    <n v="4597"/>
    <n v="3.039999962"/>
    <n v="3.039999962"/>
    <n v="0"/>
    <n v="0"/>
    <n v="0.47999998900000002"/>
    <n v="2.5599999430000002"/>
    <n v="0"/>
    <n v="0"/>
    <n v="12"/>
    <n v="217"/>
    <n v="1211"/>
    <n v="229"/>
    <n v="1440"/>
    <x v="2"/>
    <n v="1814"/>
  </r>
  <r>
    <n v="1844505072"/>
    <d v="2016-04-21T00:00:00"/>
    <s v="Thursday"/>
    <x v="0"/>
    <n v="8054"/>
    <n v="5.3200001720000003"/>
    <n v="5.3200001720000003"/>
    <n v="0"/>
    <n v="0.119999997"/>
    <n v="0.519999981"/>
    <n v="4.6799998279999997"/>
    <n v="0"/>
    <n v="2"/>
    <n v="13"/>
    <n v="308"/>
    <n v="1117"/>
    <n v="323"/>
    <n v="1440"/>
    <x v="1"/>
    <n v="2062"/>
  </r>
  <r>
    <n v="1844505072"/>
    <d v="2016-04-22T00:00:00"/>
    <s v="Friday"/>
    <x v="0"/>
    <n v="5372"/>
    <n v="3.5499999519999998"/>
    <n v="3.5499999519999998"/>
    <n v="0"/>
    <n v="0"/>
    <n v="0"/>
    <n v="3.5499999519999998"/>
    <n v="0"/>
    <n v="0"/>
    <n v="0"/>
    <n v="220"/>
    <n v="1220"/>
    <n v="220"/>
    <n v="1440"/>
    <x v="3"/>
    <n v="1827"/>
  </r>
  <r>
    <n v="1844505072"/>
    <d v="2016-04-23T00:00:00"/>
    <s v="Saturday"/>
    <x v="1"/>
    <n v="3570"/>
    <n v="2.3599998950000001"/>
    <n v="2.3599998950000001"/>
    <n v="0"/>
    <n v="0"/>
    <n v="0"/>
    <n v="2.3599998950000001"/>
    <n v="0"/>
    <n v="0"/>
    <n v="0"/>
    <n v="139"/>
    <n v="1301"/>
    <n v="139"/>
    <n v="1440"/>
    <x v="2"/>
    <n v="1645"/>
  </r>
  <r>
    <n v="1844505072"/>
    <d v="2016-04-28T00:00:00"/>
    <s v="Thursday"/>
    <x v="0"/>
    <n v="6907"/>
    <n v="4.5700001720000003"/>
    <n v="4.5700001720000003"/>
    <n v="0"/>
    <n v="0"/>
    <n v="0"/>
    <n v="4.5599999430000002"/>
    <n v="0"/>
    <n v="0"/>
    <n v="0"/>
    <n v="302"/>
    <n v="1138"/>
    <n v="302"/>
    <n v="1440"/>
    <x v="3"/>
    <n v="1992"/>
  </r>
  <r>
    <n v="1844505072"/>
    <d v="2016-04-29T00:00:00"/>
    <s v="Friday"/>
    <x v="0"/>
    <n v="4920"/>
    <n v="3.25"/>
    <n v="3.25"/>
    <n v="0"/>
    <n v="0"/>
    <n v="0"/>
    <n v="3.25"/>
    <n v="0"/>
    <n v="0"/>
    <n v="0"/>
    <n v="247"/>
    <n v="1082"/>
    <n v="247"/>
    <n v="1329"/>
    <x v="2"/>
    <n v="1856"/>
  </r>
  <r>
    <n v="1844505072"/>
    <d v="2016-05-01T00:00:00"/>
    <s v="Sunday"/>
    <x v="1"/>
    <n v="2573"/>
    <n v="1.7000000479999999"/>
    <n v="1.7000000479999999"/>
    <n v="0"/>
    <n v="0"/>
    <n v="0.25999999000000001"/>
    <n v="1.4500000479999999"/>
    <n v="0"/>
    <n v="0"/>
    <n v="7"/>
    <n v="75"/>
    <n v="585"/>
    <n v="82"/>
    <n v="667"/>
    <x v="2"/>
    <n v="1541"/>
  </r>
  <r>
    <n v="1844505072"/>
    <d v="2016-05-03T00:00:00"/>
    <s v="Tuesday"/>
    <x v="0"/>
    <n v="4059"/>
    <n v="2.6800000669999999"/>
    <n v="2.6800000669999999"/>
    <n v="0"/>
    <n v="0"/>
    <n v="0"/>
    <n v="2.6800000669999999"/>
    <n v="0"/>
    <n v="0"/>
    <n v="0"/>
    <n v="184"/>
    <n v="1256"/>
    <n v="184"/>
    <n v="1440"/>
    <x v="2"/>
    <n v="1742"/>
  </r>
  <r>
    <n v="1844505072"/>
    <d v="2016-05-04T00:00:00"/>
    <s v="Wednesday"/>
    <x v="0"/>
    <n v="2080"/>
    <n v="1.3700000050000001"/>
    <n v="1.3700000050000001"/>
    <n v="0"/>
    <n v="0"/>
    <n v="0"/>
    <n v="1.3700000050000001"/>
    <n v="0"/>
    <n v="0"/>
    <n v="0"/>
    <n v="87"/>
    <n v="1353"/>
    <n v="87"/>
    <n v="1440"/>
    <x v="2"/>
    <n v="1549"/>
  </r>
  <r>
    <n v="1844505072"/>
    <d v="2016-05-05T00:00:00"/>
    <s v="Thursday"/>
    <x v="0"/>
    <n v="2237"/>
    <n v="1.480000019"/>
    <n v="1.480000019"/>
    <n v="0"/>
    <n v="0"/>
    <n v="0"/>
    <n v="1.480000019"/>
    <n v="0"/>
    <n v="0"/>
    <n v="0"/>
    <n v="120"/>
    <n v="1320"/>
    <n v="120"/>
    <n v="1440"/>
    <x v="2"/>
    <n v="1589"/>
  </r>
  <r>
    <n v="1927972279"/>
    <d v="2016-04-01T00:00:00"/>
    <s v="Friday"/>
    <x v="0"/>
    <n v="4317"/>
    <n v="2.9900000100000002"/>
    <n v="2.9900000100000002"/>
    <n v="0"/>
    <n v="0"/>
    <n v="0.37000000500000002"/>
    <n v="2.619999886"/>
    <n v="0"/>
    <n v="0"/>
    <n v="11"/>
    <n v="192"/>
    <n v="854"/>
    <n v="203"/>
    <n v="1057"/>
    <x v="2"/>
    <n v="2590"/>
  </r>
  <r>
    <n v="1927972279"/>
    <d v="2016-04-02T00:00:00"/>
    <s v="Saturday"/>
    <x v="1"/>
    <n v="5662"/>
    <n v="3.920000076"/>
    <n v="3.920000076"/>
    <n v="0"/>
    <n v="0"/>
    <n v="0"/>
    <n v="3.920000076"/>
    <n v="0"/>
    <n v="0"/>
    <n v="0"/>
    <n v="267"/>
    <n v="858"/>
    <n v="267"/>
    <n v="1125"/>
    <x v="3"/>
    <n v="2783"/>
  </r>
  <r>
    <n v="1927972279"/>
    <d v="2016-04-03T00:00:00"/>
    <s v="Sunday"/>
    <x v="1"/>
    <n v="3198"/>
    <n v="2.210000038"/>
    <n v="2.210000038"/>
    <n v="0"/>
    <n v="0"/>
    <n v="0"/>
    <n v="2.210000038"/>
    <n v="0"/>
    <n v="0"/>
    <n v="0"/>
    <n v="146"/>
    <n v="1183"/>
    <n v="146"/>
    <n v="1329"/>
    <x v="2"/>
    <n v="2449"/>
  </r>
  <r>
    <n v="1927972279"/>
    <d v="2016-04-04T00:00:00"/>
    <s v="Monday"/>
    <x v="0"/>
    <n v="2352"/>
    <n v="1.6299999949999999"/>
    <n v="1.6299999949999999"/>
    <n v="0"/>
    <n v="0"/>
    <n v="0"/>
    <n v="1.6299999949999999"/>
    <n v="0"/>
    <n v="0"/>
    <n v="0"/>
    <n v="128"/>
    <n v="829"/>
    <n v="128"/>
    <n v="957"/>
    <x v="2"/>
    <n v="2380"/>
  </r>
  <r>
    <n v="1927972279"/>
    <d v="2016-04-05T00:00:00"/>
    <s v="Tuesday"/>
    <x v="0"/>
    <n v="2234"/>
    <n v="1.5499999520000001"/>
    <n v="1.5499999520000001"/>
    <n v="0"/>
    <n v="0"/>
    <n v="0"/>
    <n v="1.5499999520000001"/>
    <n v="0"/>
    <n v="0"/>
    <n v="0"/>
    <n v="108"/>
    <n v="912"/>
    <n v="108"/>
    <n v="1020"/>
    <x v="2"/>
    <n v="2344"/>
  </r>
  <r>
    <n v="1927972279"/>
    <d v="2016-04-06T00:00:00"/>
    <s v="Wednesday"/>
    <x v="0"/>
    <n v="1259"/>
    <n v="0.87000000499999997"/>
    <n v="0.87000000499999997"/>
    <n v="0"/>
    <n v="0"/>
    <n v="0"/>
    <n v="0.87000000499999997"/>
    <n v="0"/>
    <n v="0"/>
    <n v="0"/>
    <n v="73"/>
    <n v="938"/>
    <n v="73"/>
    <n v="1011"/>
    <x v="2"/>
    <n v="2202"/>
  </r>
  <r>
    <n v="1927972279"/>
    <d v="2016-04-07T00:00:00"/>
    <s v="Thursday"/>
    <x v="0"/>
    <n v="768"/>
    <n v="0.52999997099999996"/>
    <n v="0.52999997099999996"/>
    <n v="0"/>
    <n v="0"/>
    <n v="0"/>
    <n v="0.52999997099999996"/>
    <n v="0"/>
    <n v="0"/>
    <n v="0"/>
    <n v="43"/>
    <n v="1397"/>
    <n v="43"/>
    <n v="1440"/>
    <x v="2"/>
    <n v="2130"/>
  </r>
  <r>
    <n v="1927972279"/>
    <d v="2016-04-08T00:00:00"/>
    <s v="Friday"/>
    <x v="0"/>
    <n v="519"/>
    <n v="0.36000001399999998"/>
    <n v="0.36000001399999998"/>
    <n v="0"/>
    <n v="0"/>
    <n v="0"/>
    <n v="0.36000001399999998"/>
    <n v="0"/>
    <n v="0"/>
    <n v="0"/>
    <n v="34"/>
    <n v="1406"/>
    <n v="34"/>
    <n v="1440"/>
    <x v="2"/>
    <n v="2088"/>
  </r>
  <r>
    <n v="1927972279"/>
    <d v="2016-04-09T00:00:00"/>
    <s v="Saturday"/>
    <x v="1"/>
    <n v="2523"/>
    <n v="1.75"/>
    <n v="1.75"/>
    <n v="0"/>
    <n v="0"/>
    <n v="0.37000000500000002"/>
    <n v="1.3799999949999999"/>
    <n v="0"/>
    <n v="0"/>
    <n v="9"/>
    <n v="134"/>
    <n v="1250"/>
    <n v="143"/>
    <n v="1393"/>
    <x v="2"/>
    <n v="2443"/>
  </r>
  <r>
    <n v="1927972279"/>
    <d v="2016-04-10T00:00:00"/>
    <s v="Sunday"/>
    <x v="1"/>
    <n v="2105"/>
    <n v="1.460000038"/>
    <n v="1.460000038"/>
    <n v="0"/>
    <n v="0"/>
    <n v="0"/>
    <n v="1.460000038"/>
    <n v="0"/>
    <n v="0"/>
    <n v="0"/>
    <n v="139"/>
    <n v="805"/>
    <n v="139"/>
    <n v="944"/>
    <x v="2"/>
    <n v="2442"/>
  </r>
  <r>
    <n v="1927972279"/>
    <d v="2016-04-11T00:00:00"/>
    <s v="Monday"/>
    <x v="0"/>
    <n v="1209"/>
    <n v="0.83999997400000004"/>
    <n v="0.83999997400000004"/>
    <n v="0"/>
    <n v="0"/>
    <n v="0"/>
    <n v="0.83999997400000004"/>
    <n v="0"/>
    <n v="0"/>
    <n v="0"/>
    <n v="73"/>
    <n v="842"/>
    <n v="73"/>
    <n v="915"/>
    <x v="2"/>
    <n v="2255"/>
  </r>
  <r>
    <n v="1927972279"/>
    <d v="2016-04-13T00:00:00"/>
    <s v="Wednesday"/>
    <x v="0"/>
    <n v="356"/>
    <n v="0.25"/>
    <n v="0.25"/>
    <n v="0"/>
    <n v="0"/>
    <n v="0"/>
    <n v="0.25"/>
    <n v="0"/>
    <n v="0"/>
    <n v="0"/>
    <n v="32"/>
    <n v="986"/>
    <n v="32"/>
    <n v="1018"/>
    <x v="2"/>
    <n v="2151"/>
  </r>
  <r>
    <n v="1927972279"/>
    <d v="2016-04-14T00:00:00"/>
    <s v="Thursday"/>
    <x v="0"/>
    <n v="2163"/>
    <n v="1.5"/>
    <n v="1.5"/>
    <n v="0"/>
    <n v="0"/>
    <n v="0.40000000600000002"/>
    <n v="1.1000000240000001"/>
    <n v="0"/>
    <n v="0"/>
    <n v="9"/>
    <n v="88"/>
    <n v="1292"/>
    <n v="97"/>
    <n v="1389"/>
    <x v="2"/>
    <n v="2383"/>
  </r>
  <r>
    <n v="1927972279"/>
    <d v="2016-04-15T00:00:00"/>
    <s v="Friday"/>
    <x v="0"/>
    <n v="980"/>
    <n v="0.68000000699999996"/>
    <n v="0.68000000699999996"/>
    <n v="0"/>
    <n v="0"/>
    <n v="0"/>
    <n v="0.68000000699999996"/>
    <n v="0"/>
    <n v="0"/>
    <n v="0"/>
    <n v="51"/>
    <n v="941"/>
    <n v="51"/>
    <n v="992"/>
    <x v="2"/>
    <n v="2221"/>
  </r>
  <r>
    <n v="1927972279"/>
    <d v="2016-04-18T00:00:00"/>
    <s v="Monday"/>
    <x v="0"/>
    <n v="244"/>
    <n v="0.17000000200000001"/>
    <n v="0.17000000200000001"/>
    <n v="0"/>
    <n v="0"/>
    <n v="0"/>
    <n v="0.17000000200000001"/>
    <n v="0"/>
    <n v="0"/>
    <n v="0"/>
    <n v="17"/>
    <n v="1423"/>
    <n v="17"/>
    <n v="1440"/>
    <x v="2"/>
    <n v="2111"/>
  </r>
  <r>
    <n v="1927972279"/>
    <d v="2016-04-23T00:00:00"/>
    <s v="Saturday"/>
    <x v="1"/>
    <n v="2945"/>
    <n v="2.039999962"/>
    <n v="2.039999962"/>
    <n v="0"/>
    <n v="0"/>
    <n v="0"/>
    <n v="2.039999962"/>
    <n v="0"/>
    <n v="0"/>
    <n v="0"/>
    <n v="145"/>
    <n v="1295"/>
    <n v="145"/>
    <n v="1440"/>
    <x v="2"/>
    <n v="2499"/>
  </r>
  <r>
    <n v="1927972279"/>
    <d v="2016-04-24T00:00:00"/>
    <s v="Sunday"/>
    <x v="1"/>
    <n v="2090"/>
    <n v="1.4500000479999999"/>
    <n v="1.4500000479999999"/>
    <n v="0"/>
    <n v="7.0000000000000007E-2"/>
    <n v="0.23999999499999999"/>
    <n v="1.1399999860000001"/>
    <n v="0"/>
    <n v="1"/>
    <n v="6"/>
    <n v="75"/>
    <n v="1358"/>
    <n v="82"/>
    <n v="1440"/>
    <x v="2"/>
    <n v="2324"/>
  </r>
  <r>
    <n v="1927972279"/>
    <d v="2016-04-26T00:00:00"/>
    <s v="Tuesday"/>
    <x v="0"/>
    <n v="3761"/>
    <n v="2.5999999049999998"/>
    <n v="2.5999999049999998"/>
    <n v="0"/>
    <n v="0"/>
    <n v="0"/>
    <n v="2.5999999049999998"/>
    <n v="0"/>
    <n v="0"/>
    <n v="0"/>
    <n v="192"/>
    <n v="1058"/>
    <n v="192"/>
    <n v="1250"/>
    <x v="2"/>
    <n v="2638"/>
  </r>
  <r>
    <n v="1927972279"/>
    <d v="2016-04-28T00:00:00"/>
    <s v="Thursday"/>
    <x v="0"/>
    <n v="1675"/>
    <n v="1.1599999670000001"/>
    <n v="1.1599999670000001"/>
    <n v="0"/>
    <n v="0"/>
    <n v="0"/>
    <n v="1.1599999670000001"/>
    <n v="0"/>
    <n v="0"/>
    <n v="0"/>
    <n v="95"/>
    <n v="1167"/>
    <n v="95"/>
    <n v="1262"/>
    <x v="2"/>
    <n v="2351"/>
  </r>
  <r>
    <n v="1927972279"/>
    <d v="2016-05-01T00:00:00"/>
    <s v="Sunday"/>
    <x v="1"/>
    <n v="2704"/>
    <n v="1.8700000050000001"/>
    <n v="1.8700000050000001"/>
    <n v="0"/>
    <n v="1.0099999900000001"/>
    <n v="2.9999998999999999E-2"/>
    <n v="0.829999983"/>
    <n v="0"/>
    <n v="14"/>
    <n v="1"/>
    <n v="70"/>
    <n v="1355"/>
    <n v="85"/>
    <n v="1440"/>
    <x v="2"/>
    <n v="2411"/>
  </r>
  <r>
    <n v="1927972279"/>
    <d v="2016-05-02T00:00:00"/>
    <s v="Monday"/>
    <x v="0"/>
    <n v="3790"/>
    <n v="2.619999886"/>
    <n v="2.619999886"/>
    <n v="0"/>
    <n v="1.1599999670000001"/>
    <n v="0.30000001199999998"/>
    <n v="1.1599999670000001"/>
    <n v="0"/>
    <n v="16"/>
    <n v="8"/>
    <n v="94"/>
    <n v="1322"/>
    <n v="118"/>
    <n v="1440"/>
    <x v="2"/>
    <n v="2505"/>
  </r>
  <r>
    <n v="1927972279"/>
    <d v="2016-05-03T00:00:00"/>
    <s v="Tuesday"/>
    <x v="0"/>
    <n v="1326"/>
    <n v="0.920000017"/>
    <n v="0.920000017"/>
    <n v="0"/>
    <n v="0.730000019"/>
    <n v="0"/>
    <n v="0.18000000699999999"/>
    <n v="0"/>
    <n v="10"/>
    <n v="0"/>
    <n v="17"/>
    <n v="1413"/>
    <n v="27"/>
    <n v="1440"/>
    <x v="2"/>
    <n v="2195"/>
  </r>
  <r>
    <n v="1927972279"/>
    <d v="2016-05-04T00:00:00"/>
    <s v="Wednesday"/>
    <x v="0"/>
    <n v="1786"/>
    <n v="1.2400000099999999"/>
    <n v="1.2400000099999999"/>
    <n v="0"/>
    <n v="0"/>
    <n v="0"/>
    <n v="1.2400000099999999"/>
    <n v="0"/>
    <n v="0"/>
    <n v="0"/>
    <n v="87"/>
    <n v="1353"/>
    <n v="87"/>
    <n v="1440"/>
    <x v="2"/>
    <n v="2338"/>
  </r>
  <r>
    <n v="1927972279"/>
    <d v="2016-05-06T00:00:00"/>
    <s v="Friday"/>
    <x v="0"/>
    <n v="2091"/>
    <n v="1.4500000479999999"/>
    <n v="1.4500000479999999"/>
    <n v="0"/>
    <n v="0"/>
    <n v="0"/>
    <n v="1.4500000479999999"/>
    <n v="0"/>
    <n v="0"/>
    <n v="0"/>
    <n v="108"/>
    <n v="1332"/>
    <n v="108"/>
    <n v="1440"/>
    <x v="2"/>
    <n v="2383"/>
  </r>
  <r>
    <n v="1927972279"/>
    <d v="2016-05-07T00:00:00"/>
    <s v="Saturday"/>
    <x v="1"/>
    <n v="1510"/>
    <n v="1.039999962"/>
    <n v="1.039999962"/>
    <n v="0"/>
    <n v="0"/>
    <n v="0"/>
    <n v="1.039999962"/>
    <n v="0"/>
    <n v="0"/>
    <n v="0"/>
    <n v="48"/>
    <n v="1392"/>
    <n v="48"/>
    <n v="1440"/>
    <x v="2"/>
    <n v="2229"/>
  </r>
  <r>
    <n v="2022484408"/>
    <d v="2016-04-01T00:00:00"/>
    <s v="Friday"/>
    <x v="0"/>
    <n v="13603"/>
    <n v="9.6000003809999992"/>
    <n v="9.6000003809999992"/>
    <n v="0"/>
    <n v="5.4600000380000004"/>
    <n v="0.62999999500000003"/>
    <n v="3.5099999899999998"/>
    <n v="0"/>
    <n v="72"/>
    <n v="16"/>
    <n v="213"/>
    <n v="1139"/>
    <n v="301"/>
    <n v="1440"/>
    <x v="0"/>
    <n v="2645"/>
  </r>
  <r>
    <n v="2022484408"/>
    <d v="2016-04-02T00:00:00"/>
    <s v="Saturday"/>
    <x v="1"/>
    <n v="5477"/>
    <n v="3.8399999139999998"/>
    <n v="3.8399999139999998"/>
    <n v="0"/>
    <n v="0"/>
    <n v="0"/>
    <n v="3.8399999139999998"/>
    <n v="0"/>
    <n v="0"/>
    <n v="0"/>
    <n v="237"/>
    <n v="1203"/>
    <n v="237"/>
    <n v="1440"/>
    <x v="3"/>
    <n v="2040"/>
  </r>
  <r>
    <n v="2022484408"/>
    <d v="2016-04-03T00:00:00"/>
    <s v="Sunday"/>
    <x v="1"/>
    <n v="11144"/>
    <n v="7.8200001720000003"/>
    <n v="7.8200001720000003"/>
    <n v="0"/>
    <n v="1.789999962"/>
    <n v="0.88999998599999997"/>
    <n v="5.1399998660000001"/>
    <n v="0"/>
    <n v="25"/>
    <n v="22"/>
    <n v="279"/>
    <n v="1114"/>
    <n v="326"/>
    <n v="1440"/>
    <x v="0"/>
    <n v="2395"/>
  </r>
  <r>
    <n v="2022484408"/>
    <d v="2016-04-04T00:00:00"/>
    <s v="Monday"/>
    <x v="0"/>
    <n v="15313"/>
    <n v="11"/>
    <n v="11"/>
    <n v="0"/>
    <n v="5.0199999809999998"/>
    <n v="1.289999962"/>
    <n v="4.6900000569999998"/>
    <n v="0"/>
    <n v="62"/>
    <n v="19"/>
    <n v="233"/>
    <n v="1126"/>
    <n v="314"/>
    <n v="1440"/>
    <x v="0"/>
    <n v="2581"/>
  </r>
  <r>
    <n v="2022484408"/>
    <d v="2016-04-05T00:00:00"/>
    <s v="Tuesday"/>
    <x v="0"/>
    <n v="10805"/>
    <n v="7.5900001530000001"/>
    <n v="7.5900001530000001"/>
    <n v="0"/>
    <n v="0.72000002900000004"/>
    <n v="0.980000019"/>
    <n v="5.8899998660000001"/>
    <n v="0"/>
    <n v="36"/>
    <n v="37"/>
    <n v="298"/>
    <n v="1069"/>
    <n v="371"/>
    <n v="1440"/>
    <x v="0"/>
    <n v="2735"/>
  </r>
  <r>
    <n v="2022484408"/>
    <d v="2016-04-06T00:00:00"/>
    <s v="Wednesday"/>
    <x v="0"/>
    <n v="15392"/>
    <n v="10.93000031"/>
    <n v="10.93000031"/>
    <n v="0"/>
    <n v="3.4300000669999999"/>
    <n v="1.75"/>
    <n v="5.75"/>
    <n v="0"/>
    <n v="47"/>
    <n v="42"/>
    <n v="258"/>
    <n v="1093"/>
    <n v="347"/>
    <n v="1440"/>
    <x v="0"/>
    <n v="2733"/>
  </r>
  <r>
    <n v="2022484408"/>
    <d v="2016-04-07T00:00:00"/>
    <s v="Thursday"/>
    <x v="0"/>
    <n v="18247"/>
    <n v="13.829999920000001"/>
    <n v="13.829999920000001"/>
    <n v="0"/>
    <n v="7.1100001339999999"/>
    <n v="2.210000038"/>
    <n v="4.5100002290000001"/>
    <n v="0"/>
    <n v="72"/>
    <n v="62"/>
    <n v="252"/>
    <n v="1054"/>
    <n v="386"/>
    <n v="1440"/>
    <x v="0"/>
    <n v="3021"/>
  </r>
  <r>
    <n v="2022484408"/>
    <d v="2016-04-08T00:00:00"/>
    <s v="Friday"/>
    <x v="0"/>
    <n v="13023"/>
    <n v="9.2600002289999992"/>
    <n v="9.2600002289999992"/>
    <n v="0"/>
    <n v="3.2300000190000002"/>
    <n v="0.560000002"/>
    <n v="5.4699997900000001"/>
    <n v="0"/>
    <n v="40"/>
    <n v="12"/>
    <n v="296"/>
    <n v="1092"/>
    <n v="348"/>
    <n v="1440"/>
    <x v="0"/>
    <n v="2577"/>
  </r>
  <r>
    <n v="2022484408"/>
    <d v="2016-04-09T00:00:00"/>
    <s v="Saturday"/>
    <x v="1"/>
    <n v="16267"/>
    <n v="12.59000015"/>
    <n v="12.59000015"/>
    <n v="0"/>
    <n v="5.75"/>
    <n v="0.469999999"/>
    <n v="6.3699998860000004"/>
    <n v="0"/>
    <n v="44"/>
    <n v="16"/>
    <n v="302"/>
    <n v="1078"/>
    <n v="362"/>
    <n v="1440"/>
    <x v="0"/>
    <n v="2811"/>
  </r>
  <r>
    <n v="2022484408"/>
    <d v="2016-04-10T00:00:00"/>
    <s v="Sunday"/>
    <x v="1"/>
    <n v="10005"/>
    <n v="7.0199999809999998"/>
    <n v="7.0199999809999998"/>
    <n v="0"/>
    <n v="7.9999998000000003E-2"/>
    <n v="1.0499999520000001"/>
    <n v="5.9000000950000002"/>
    <n v="0"/>
    <n v="1"/>
    <n v="23"/>
    <n v="339"/>
    <n v="1077"/>
    <n v="363"/>
    <n v="1440"/>
    <x v="0"/>
    <n v="2458"/>
  </r>
  <r>
    <n v="2022484408"/>
    <d v="2016-04-11T00:00:00"/>
    <s v="Monday"/>
    <x v="0"/>
    <n v="10106"/>
    <n v="7.0900001530000001"/>
    <n v="7.0900001530000001"/>
    <n v="0"/>
    <n v="1.210000038"/>
    <n v="0.560000002"/>
    <n v="5.329999924"/>
    <n v="0"/>
    <n v="41"/>
    <n v="16"/>
    <n v="272"/>
    <n v="1111"/>
    <n v="329"/>
    <n v="1440"/>
    <x v="0"/>
    <n v="2568"/>
  </r>
  <r>
    <n v="2022484408"/>
    <d v="2016-04-12T00:00:00"/>
    <s v="Tuesday"/>
    <x v="0"/>
    <n v="6717"/>
    <n v="4.7199997900000001"/>
    <n v="4.7199997900000001"/>
    <n v="0"/>
    <n v="3.2300000190000002"/>
    <n v="0.219999999"/>
    <n v="1.269999981"/>
    <n v="0"/>
    <n v="41"/>
    <n v="5"/>
    <n v="67"/>
    <n v="551"/>
    <n v="113"/>
    <n v="664"/>
    <x v="3"/>
    <n v="1140"/>
  </r>
  <r>
    <n v="2022484408"/>
    <d v="2016-04-13T00:00:00"/>
    <s v="Wednesday"/>
    <x v="0"/>
    <n v="12024"/>
    <n v="8.5"/>
    <n v="8.5"/>
    <n v="0"/>
    <n v="2.9900000100000002"/>
    <n v="0.10000000100000001"/>
    <n v="5.4099998469999999"/>
    <n v="0"/>
    <n v="43"/>
    <n v="5"/>
    <n v="292"/>
    <n v="1100"/>
    <n v="340"/>
    <n v="1440"/>
    <x v="0"/>
    <n v="2601"/>
  </r>
  <r>
    <n v="2022484408"/>
    <d v="2016-04-14T00:00:00"/>
    <s v="Thursday"/>
    <x v="0"/>
    <n v="10690"/>
    <n v="7.5"/>
    <n v="7.5"/>
    <n v="0"/>
    <n v="2.4800000190000002"/>
    <n v="0.209999993"/>
    <n v="4.8200001720000003"/>
    <n v="0"/>
    <n v="32"/>
    <n v="3"/>
    <n v="257"/>
    <n v="1148"/>
    <n v="292"/>
    <n v="1440"/>
    <x v="0"/>
    <n v="2312"/>
  </r>
  <r>
    <n v="2022484408"/>
    <d v="2016-04-15T00:00:00"/>
    <s v="Friday"/>
    <x v="0"/>
    <n v="11034"/>
    <n v="8.0299997330000004"/>
    <n v="8.0299997330000004"/>
    <n v="0"/>
    <n v="1.940000057"/>
    <n v="0.310000002"/>
    <n v="5.7800002099999999"/>
    <n v="0"/>
    <n v="27"/>
    <n v="9"/>
    <n v="282"/>
    <n v="1122"/>
    <n v="318"/>
    <n v="1440"/>
    <x v="0"/>
    <n v="2525"/>
  </r>
  <r>
    <n v="2022484408"/>
    <d v="2016-04-16T00:00:00"/>
    <s v="Saturday"/>
    <x v="1"/>
    <n v="10100"/>
    <n v="7.0900001530000001"/>
    <n v="7.0900001530000001"/>
    <n v="0"/>
    <n v="3.1500000950000002"/>
    <n v="0.55000001200000004"/>
    <n v="3.3900001049999999"/>
    <n v="0"/>
    <n v="41"/>
    <n v="11"/>
    <n v="151"/>
    <n v="1237"/>
    <n v="203"/>
    <n v="1440"/>
    <x v="0"/>
    <n v="2177"/>
  </r>
  <r>
    <n v="2022484408"/>
    <d v="2016-04-17T00:00:00"/>
    <s v="Sunday"/>
    <x v="1"/>
    <n v="15112"/>
    <n v="11.399999619999999"/>
    <n v="11.399999619999999"/>
    <n v="0"/>
    <n v="3.869999886"/>
    <n v="0.66000002599999996"/>
    <n v="6.8800001139999996"/>
    <n v="0"/>
    <n v="28"/>
    <n v="29"/>
    <n v="331"/>
    <n v="1052"/>
    <n v="388"/>
    <n v="1440"/>
    <x v="0"/>
    <n v="2782"/>
  </r>
  <r>
    <n v="2022484408"/>
    <d v="2016-04-18T00:00:00"/>
    <s v="Monday"/>
    <x v="0"/>
    <n v="14131"/>
    <n v="10.06999969"/>
    <n v="10.06999969"/>
    <n v="0"/>
    <n v="3.6400001049999999"/>
    <n v="0.119999997"/>
    <n v="6.3000001909999996"/>
    <n v="0"/>
    <n v="48"/>
    <n v="3"/>
    <n v="311"/>
    <n v="1078"/>
    <n v="362"/>
    <n v="1440"/>
    <x v="0"/>
    <n v="2770"/>
  </r>
  <r>
    <n v="2022484408"/>
    <d v="2016-04-19T00:00:00"/>
    <s v="Tuesday"/>
    <x v="0"/>
    <n v="11548"/>
    <n v="8.5299997330000004"/>
    <n v="8.5299997330000004"/>
    <n v="0"/>
    <n v="3.289999962"/>
    <n v="0.23999999499999999"/>
    <n v="5"/>
    <n v="0"/>
    <n v="31"/>
    <n v="7"/>
    <n v="250"/>
    <n v="1152"/>
    <n v="288"/>
    <n v="1440"/>
    <x v="0"/>
    <n v="2489"/>
  </r>
  <r>
    <n v="2022484408"/>
    <d v="2016-04-20T00:00:00"/>
    <s v="Wednesday"/>
    <x v="0"/>
    <n v="15112"/>
    <n v="10.670000079999999"/>
    <n v="10.670000079999999"/>
    <n v="0"/>
    <n v="3.3399999139999998"/>
    <n v="1.9299999480000001"/>
    <n v="5.4000000950000002"/>
    <n v="0"/>
    <n v="48"/>
    <n v="63"/>
    <n v="276"/>
    <n v="1053"/>
    <n v="387"/>
    <n v="1440"/>
    <x v="0"/>
    <n v="2897"/>
  </r>
  <r>
    <n v="2022484408"/>
    <d v="2016-04-21T00:00:00"/>
    <s v="Thursday"/>
    <x v="0"/>
    <n v="12453"/>
    <n v="8.7399997710000008"/>
    <n v="8.7399997710000008"/>
    <n v="0"/>
    <n v="3.329999924"/>
    <n v="1.1100000139999999"/>
    <n v="4.3099999430000002"/>
    <n v="0"/>
    <n v="104"/>
    <n v="53"/>
    <n v="255"/>
    <n v="1028"/>
    <n v="412"/>
    <n v="1440"/>
    <x v="0"/>
    <n v="3158"/>
  </r>
  <r>
    <n v="2022484408"/>
    <d v="2016-04-22T00:00:00"/>
    <s v="Friday"/>
    <x v="0"/>
    <n v="12954"/>
    <n v="9.3299999239999991"/>
    <n v="9.3299999239999991"/>
    <n v="0"/>
    <n v="4.4299998279999997"/>
    <n v="0.41999998700000002"/>
    <n v="4.4699997900000001"/>
    <n v="0"/>
    <n v="52"/>
    <n v="10"/>
    <n v="273"/>
    <n v="1105"/>
    <n v="335"/>
    <n v="1440"/>
    <x v="0"/>
    <n v="2638"/>
  </r>
  <r>
    <n v="2022484408"/>
    <d v="2016-04-23T00:00:00"/>
    <s v="Saturday"/>
    <x v="1"/>
    <n v="6001"/>
    <n v="4.2100000380000004"/>
    <n v="4.2100000380000004"/>
    <n v="0"/>
    <n v="0"/>
    <n v="0"/>
    <n v="4.2100000380000004"/>
    <n v="0"/>
    <n v="0"/>
    <n v="0"/>
    <n v="249"/>
    <n v="1191"/>
    <n v="249"/>
    <n v="1440"/>
    <x v="3"/>
    <n v="2069"/>
  </r>
  <r>
    <n v="2022484408"/>
    <d v="2016-04-24T00:00:00"/>
    <s v="Sunday"/>
    <x v="1"/>
    <n v="13481"/>
    <n v="10.27999973"/>
    <n v="10.27999973"/>
    <n v="0"/>
    <n v="4.5500001909999996"/>
    <n v="1.1499999759999999"/>
    <n v="4.579999924"/>
    <n v="0"/>
    <n v="37"/>
    <n v="26"/>
    <n v="216"/>
    <n v="1161"/>
    <n v="279"/>
    <n v="1440"/>
    <x v="0"/>
    <n v="2529"/>
  </r>
  <r>
    <n v="2022484408"/>
    <d v="2016-04-25T00:00:00"/>
    <s v="Monday"/>
    <x v="0"/>
    <n v="11369"/>
    <n v="8.0100002289999992"/>
    <n v="8.0100002289999992"/>
    <n v="0"/>
    <n v="3.329999924"/>
    <n v="0.219999999"/>
    <n v="4.4600000380000004"/>
    <n v="0"/>
    <n v="44"/>
    <n v="8"/>
    <n v="217"/>
    <n v="1171"/>
    <n v="269"/>
    <n v="1440"/>
    <x v="0"/>
    <n v="2470"/>
  </r>
  <r>
    <n v="2022484408"/>
    <d v="2016-04-26T00:00:00"/>
    <s v="Tuesday"/>
    <x v="0"/>
    <n v="10119"/>
    <n v="7.1900000569999998"/>
    <n v="7.1900000569999998"/>
    <n v="0"/>
    <n v="1.4299999480000001"/>
    <n v="0.66000002599999996"/>
    <n v="5.1100001339999999"/>
    <n v="0"/>
    <n v="55"/>
    <n v="24"/>
    <n v="275"/>
    <n v="1086"/>
    <n v="354"/>
    <n v="1440"/>
    <x v="0"/>
    <n v="2793"/>
  </r>
  <r>
    <n v="2022484408"/>
    <d v="2016-04-27T00:00:00"/>
    <s v="Wednesday"/>
    <x v="0"/>
    <n v="10159"/>
    <n v="7.1300001139999996"/>
    <n v="7.1300001139999996"/>
    <n v="0"/>
    <n v="1.039999962"/>
    <n v="0.97000002900000004"/>
    <n v="5.1199998860000004"/>
    <n v="0"/>
    <n v="19"/>
    <n v="20"/>
    <n v="282"/>
    <n v="1119"/>
    <n v="321"/>
    <n v="1440"/>
    <x v="0"/>
    <n v="2463"/>
  </r>
  <r>
    <n v="2022484408"/>
    <d v="2016-04-28T00:00:00"/>
    <s v="Thursday"/>
    <x v="0"/>
    <n v="10140"/>
    <n v="7.1199998860000004"/>
    <n v="7.1199998860000004"/>
    <n v="0"/>
    <n v="0.40999999599999998"/>
    <n v="1.3300000430000001"/>
    <n v="5.3899998660000001"/>
    <n v="0"/>
    <n v="6"/>
    <n v="20"/>
    <n v="291"/>
    <n v="1123"/>
    <n v="317"/>
    <n v="1440"/>
    <x v="0"/>
    <n v="2296"/>
  </r>
  <r>
    <n v="2022484408"/>
    <d v="2016-04-29T00:00:00"/>
    <s v="Friday"/>
    <x v="0"/>
    <n v="10245"/>
    <n v="7.1900000569999998"/>
    <n v="7.1900000569999998"/>
    <n v="0"/>
    <n v="0.47999998900000002"/>
    <n v="1.210000038"/>
    <n v="5.5"/>
    <n v="0"/>
    <n v="21"/>
    <n v="40"/>
    <n v="281"/>
    <n v="1098"/>
    <n v="342"/>
    <n v="1440"/>
    <x v="0"/>
    <n v="2611"/>
  </r>
  <r>
    <n v="2022484408"/>
    <d v="2016-04-30T00:00:00"/>
    <s v="Saturday"/>
    <x v="1"/>
    <n v="18387"/>
    <n v="12.90999985"/>
    <n v="12.90999985"/>
    <n v="0"/>
    <n v="0.939999998"/>
    <n v="1.3999999759999999"/>
    <n v="10.56999969"/>
    <n v="0"/>
    <n v="13"/>
    <n v="23"/>
    <n v="361"/>
    <n v="1043"/>
    <n v="397"/>
    <n v="1440"/>
    <x v="0"/>
    <n v="2732"/>
  </r>
  <r>
    <n v="2022484408"/>
    <d v="2016-05-01T00:00:00"/>
    <s v="Sunday"/>
    <x v="1"/>
    <n v="10538"/>
    <n v="7.4000000950000002"/>
    <n v="7.4000000950000002"/>
    <n v="0"/>
    <n v="1.940000057"/>
    <n v="0.959999979"/>
    <n v="4.5"/>
    <n v="0"/>
    <n v="25"/>
    <n v="28"/>
    <n v="245"/>
    <n v="1142"/>
    <n v="298"/>
    <n v="1440"/>
    <x v="0"/>
    <n v="2380"/>
  </r>
  <r>
    <n v="2022484408"/>
    <d v="2016-05-02T00:00:00"/>
    <s v="Monday"/>
    <x v="0"/>
    <n v="10379"/>
    <n v="7.2899999619999996"/>
    <n v="7.2899999619999996"/>
    <n v="0"/>
    <n v="2.6099998950000001"/>
    <n v="0.34000000400000002"/>
    <n v="4.329999924"/>
    <n v="0"/>
    <n v="36"/>
    <n v="8"/>
    <n v="277"/>
    <n v="1119"/>
    <n v="321"/>
    <n v="1440"/>
    <x v="0"/>
    <n v="2473"/>
  </r>
  <r>
    <n v="2022484408"/>
    <d v="2016-05-03T00:00:00"/>
    <s v="Tuesday"/>
    <x v="0"/>
    <n v="12183"/>
    <n v="8.7399997710000008"/>
    <n v="8.7399997710000008"/>
    <n v="0"/>
    <n v="3.9900000100000002"/>
    <n v="0.46000000800000002"/>
    <n v="4.2800002099999999"/>
    <n v="0"/>
    <n v="72"/>
    <n v="14"/>
    <n v="250"/>
    <n v="1104"/>
    <n v="336"/>
    <n v="1440"/>
    <x v="0"/>
    <n v="2752"/>
  </r>
  <r>
    <n v="2022484408"/>
    <d v="2016-05-04T00:00:00"/>
    <s v="Wednesday"/>
    <x v="0"/>
    <n v="11768"/>
    <n v="8.2899999619999996"/>
    <n v="8.2899999619999996"/>
    <n v="0"/>
    <n v="2.5099999899999998"/>
    <n v="0.93000000699999996"/>
    <n v="4.8499999049999998"/>
    <n v="0"/>
    <n v="36"/>
    <n v="27"/>
    <n v="272"/>
    <n v="1105"/>
    <n v="335"/>
    <n v="1440"/>
    <x v="0"/>
    <n v="2649"/>
  </r>
  <r>
    <n v="2022484408"/>
    <d v="2016-05-05T00:00:00"/>
    <s v="Thursday"/>
    <x v="0"/>
    <n v="11895"/>
    <n v="8.3500003809999992"/>
    <n v="8.3500003809999992"/>
    <n v="0"/>
    <n v="2.789999962"/>
    <n v="0.86000001400000003"/>
    <n v="4.6999998090000004"/>
    <n v="0"/>
    <n v="55"/>
    <n v="20"/>
    <n v="253"/>
    <n v="1112"/>
    <n v="328"/>
    <n v="1440"/>
    <x v="0"/>
    <n v="2609"/>
  </r>
  <r>
    <n v="2022484408"/>
    <d v="2016-05-06T00:00:00"/>
    <s v="Friday"/>
    <x v="0"/>
    <n v="10227"/>
    <n v="7.1799998279999997"/>
    <n v="7.1799998279999997"/>
    <n v="0"/>
    <n v="1.8700000050000001"/>
    <n v="0.670000017"/>
    <n v="4.6399998660000001"/>
    <n v="0"/>
    <n v="24"/>
    <n v="17"/>
    <n v="295"/>
    <n v="1104"/>
    <n v="336"/>
    <n v="1440"/>
    <x v="0"/>
    <n v="2498"/>
  </r>
  <r>
    <n v="2022484408"/>
    <d v="2016-05-07T00:00:00"/>
    <s v="Saturday"/>
    <x v="1"/>
    <n v="6708"/>
    <n v="4.7100000380000004"/>
    <n v="4.7100000380000004"/>
    <n v="0"/>
    <n v="1.6100000139999999"/>
    <n v="7.9999998000000003E-2"/>
    <n v="3.0199999809999998"/>
    <n v="0"/>
    <n v="20"/>
    <n v="2"/>
    <n v="149"/>
    <n v="1269"/>
    <n v="171"/>
    <n v="1440"/>
    <x v="3"/>
    <n v="1995"/>
  </r>
  <r>
    <n v="2022484408"/>
    <d v="2016-05-08T00:00:00"/>
    <s v="Sunday"/>
    <x v="1"/>
    <n v="3292"/>
    <n v="2.3099999430000002"/>
    <n v="2.3099999430000002"/>
    <n v="0"/>
    <n v="0"/>
    <n v="0"/>
    <n v="2.3099999430000002"/>
    <n v="0"/>
    <n v="0"/>
    <n v="0"/>
    <n v="135"/>
    <n v="1305"/>
    <n v="135"/>
    <n v="1440"/>
    <x v="2"/>
    <n v="1848"/>
  </r>
  <r>
    <n v="2022484408"/>
    <d v="2016-05-09T00:00:00"/>
    <s v="Monday"/>
    <x v="0"/>
    <n v="13379"/>
    <n v="9.3900003430000005"/>
    <n v="9.3900003430000005"/>
    <n v="0"/>
    <n v="2.119999886"/>
    <n v="1.6299999949999999"/>
    <n v="5.6399998660000001"/>
    <n v="0"/>
    <n v="35"/>
    <n v="47"/>
    <n v="297"/>
    <n v="1061"/>
    <n v="379"/>
    <n v="1440"/>
    <x v="0"/>
    <n v="2709"/>
  </r>
  <r>
    <n v="2022484408"/>
    <d v="2016-05-10T00:00:00"/>
    <s v="Tuesday"/>
    <x v="0"/>
    <n v="12798"/>
    <n v="8.9799995419999998"/>
    <n v="8.9799995419999998"/>
    <n v="0"/>
    <n v="2.2200000289999999"/>
    <n v="1.210000038"/>
    <n v="5.5599999430000002"/>
    <n v="0"/>
    <n v="57"/>
    <n v="28"/>
    <n v="271"/>
    <n v="1084"/>
    <n v="356"/>
    <n v="1440"/>
    <x v="0"/>
    <n v="2797"/>
  </r>
  <r>
    <n v="2022484408"/>
    <d v="2016-05-11T00:00:00"/>
    <s v="Wednesday"/>
    <x v="0"/>
    <n v="13272"/>
    <n v="9.3199996949999999"/>
    <n v="9.3199996949999999"/>
    <n v="0"/>
    <n v="4.1799998279999997"/>
    <n v="1.1499999759999999"/>
    <n v="3.9900000100000002"/>
    <n v="0"/>
    <n v="58"/>
    <n v="25"/>
    <n v="224"/>
    <n v="1133"/>
    <n v="307"/>
    <n v="1440"/>
    <x v="0"/>
    <n v="2544"/>
  </r>
  <r>
    <n v="2022484408"/>
    <d v="2016-05-12T00:00:00"/>
    <s v="Thursday"/>
    <x v="0"/>
    <n v="9117"/>
    <n v="6.4099998469999999"/>
    <n v="6.4099998469999999"/>
    <n v="0"/>
    <n v="1.2799999710000001"/>
    <n v="0.670000017"/>
    <n v="4.4400000569999998"/>
    <n v="0"/>
    <n v="16"/>
    <n v="16"/>
    <n v="236"/>
    <n v="728"/>
    <n v="268"/>
    <n v="996"/>
    <x v="1"/>
    <n v="1853"/>
  </r>
  <r>
    <n v="2026352035"/>
    <d v="2016-04-01T00:00:00"/>
    <s v="Friday"/>
    <x v="0"/>
    <n v="2605"/>
    <n v="1.6200000050000001"/>
    <n v="1.6200000050000001"/>
    <n v="0"/>
    <n v="0"/>
    <n v="0"/>
    <n v="1.6200000050000001"/>
    <n v="0"/>
    <n v="0"/>
    <n v="0"/>
    <n v="166"/>
    <n v="729"/>
    <n v="166"/>
    <n v="895"/>
    <x v="2"/>
    <n v="1407"/>
  </r>
  <r>
    <n v="2026352035"/>
    <d v="2016-04-02T00:00:00"/>
    <s v="Saturday"/>
    <x v="1"/>
    <n v="1229"/>
    <n v="0.75999998999999996"/>
    <n v="0.75999998999999996"/>
    <n v="0"/>
    <n v="0"/>
    <n v="0"/>
    <n v="0.75999998999999996"/>
    <n v="0"/>
    <n v="0"/>
    <n v="0"/>
    <n v="69"/>
    <n v="795"/>
    <n v="69"/>
    <n v="864"/>
    <x v="2"/>
    <n v="1237"/>
  </r>
  <r>
    <n v="2026352035"/>
    <d v="2016-04-03T00:00:00"/>
    <s v="Sunday"/>
    <x v="1"/>
    <n v="2308"/>
    <n v="1.4299999480000001"/>
    <n v="1.4299999480000001"/>
    <n v="0"/>
    <n v="0"/>
    <n v="0"/>
    <n v="1.4299999480000001"/>
    <n v="0"/>
    <n v="0"/>
    <n v="0"/>
    <n v="115"/>
    <n v="720"/>
    <n v="115"/>
    <n v="835"/>
    <x v="2"/>
    <n v="1330"/>
  </r>
  <r>
    <n v="2026352035"/>
    <d v="2016-04-04T00:00:00"/>
    <s v="Monday"/>
    <x v="0"/>
    <n v="6679"/>
    <n v="4.1399998660000001"/>
    <n v="4.1399998660000001"/>
    <n v="0"/>
    <n v="0"/>
    <n v="0"/>
    <n v="4.1399998660000001"/>
    <n v="0"/>
    <n v="0"/>
    <n v="0"/>
    <n v="263"/>
    <n v="644"/>
    <n v="263"/>
    <n v="907"/>
    <x v="3"/>
    <n v="1583"/>
  </r>
  <r>
    <n v="2026352035"/>
    <d v="2016-04-05T00:00:00"/>
    <s v="Tuesday"/>
    <x v="0"/>
    <n v="5645"/>
    <n v="3.5"/>
    <n v="3.5"/>
    <n v="0"/>
    <n v="0"/>
    <n v="0"/>
    <n v="3.5"/>
    <n v="0"/>
    <n v="0"/>
    <n v="0"/>
    <n v="248"/>
    <n v="621"/>
    <n v="248"/>
    <n v="869"/>
    <x v="3"/>
    <n v="1538"/>
  </r>
  <r>
    <n v="2026352035"/>
    <d v="2016-04-06T00:00:00"/>
    <s v="Wednesday"/>
    <x v="0"/>
    <n v="3180"/>
    <n v="1.9700000289999999"/>
    <n v="1.9700000289999999"/>
    <n v="0"/>
    <n v="0"/>
    <n v="0"/>
    <n v="1.9700000289999999"/>
    <n v="0"/>
    <n v="0"/>
    <n v="0"/>
    <n v="185"/>
    <n v="738"/>
    <n v="185"/>
    <n v="923"/>
    <x v="2"/>
    <n v="1421"/>
  </r>
  <r>
    <n v="2026352035"/>
    <d v="2016-04-07T00:00:00"/>
    <s v="Thursday"/>
    <x v="0"/>
    <n v="2767"/>
    <n v="1.7200000289999999"/>
    <n v="1.7200000289999999"/>
    <n v="0"/>
    <n v="0"/>
    <n v="0"/>
    <n v="1.7200000289999999"/>
    <n v="0"/>
    <n v="0"/>
    <n v="0"/>
    <n v="170"/>
    <n v="673"/>
    <n v="170"/>
    <n v="843"/>
    <x v="2"/>
    <n v="1392"/>
  </r>
  <r>
    <n v="2026352035"/>
    <d v="2016-04-08T00:00:00"/>
    <s v="Friday"/>
    <x v="0"/>
    <n v="3762"/>
    <n v="2.329999924"/>
    <n v="2.329999924"/>
    <n v="0"/>
    <n v="0"/>
    <n v="0"/>
    <n v="2.329999924"/>
    <n v="0"/>
    <n v="0"/>
    <n v="0"/>
    <n v="173"/>
    <n v="719"/>
    <n v="173"/>
    <n v="892"/>
    <x v="2"/>
    <n v="1425"/>
  </r>
  <r>
    <n v="2026352035"/>
    <d v="2016-04-09T00:00:00"/>
    <s v="Saturday"/>
    <x v="1"/>
    <n v="3098"/>
    <n v="1.9199999569999999"/>
    <n v="1.9199999569999999"/>
    <n v="0"/>
    <n v="0"/>
    <n v="0"/>
    <n v="1.9199999569999999"/>
    <n v="0"/>
    <n v="0"/>
    <n v="0"/>
    <n v="185"/>
    <n v="700"/>
    <n v="185"/>
    <n v="885"/>
    <x v="2"/>
    <n v="1413"/>
  </r>
  <r>
    <n v="2026352035"/>
    <d v="2016-04-10T00:00:00"/>
    <s v="Sunday"/>
    <x v="1"/>
    <n v="5142"/>
    <n v="3.1900000569999998"/>
    <n v="3.1900000569999998"/>
    <n v="0"/>
    <n v="0"/>
    <n v="0"/>
    <n v="3.1900000569999998"/>
    <n v="0"/>
    <n v="0"/>
    <n v="0"/>
    <n v="230"/>
    <n v="654"/>
    <n v="230"/>
    <n v="884"/>
    <x v="3"/>
    <n v="1515"/>
  </r>
  <r>
    <n v="2026352035"/>
    <d v="2016-04-11T00:00:00"/>
    <s v="Monday"/>
    <x v="0"/>
    <n v="3279"/>
    <n v="2.0299999710000001"/>
    <n v="2.0299999710000001"/>
    <n v="0"/>
    <n v="0"/>
    <n v="0"/>
    <n v="2.0299999710000001"/>
    <n v="0"/>
    <n v="0"/>
    <n v="0"/>
    <n v="164"/>
    <n v="694"/>
    <n v="164"/>
    <n v="858"/>
    <x v="2"/>
    <n v="1405"/>
  </r>
  <r>
    <n v="2026352035"/>
    <d v="2016-04-13T00:00:00"/>
    <s v="Wednesday"/>
    <x v="0"/>
    <n v="4993"/>
    <n v="3.0999999049999998"/>
    <n v="3.0999999049999998"/>
    <n v="0"/>
    <n v="0"/>
    <n v="0"/>
    <n v="3.0999999049999998"/>
    <n v="0"/>
    <n v="0"/>
    <n v="0"/>
    <n v="238"/>
    <n v="663"/>
    <n v="238"/>
    <n v="901"/>
    <x v="2"/>
    <n v="1521"/>
  </r>
  <r>
    <n v="2026352035"/>
    <d v="2016-04-14T00:00:00"/>
    <s v="Thursday"/>
    <x v="0"/>
    <n v="3335"/>
    <n v="2.0699999330000001"/>
    <n v="2.0699999330000001"/>
    <n v="0"/>
    <n v="0"/>
    <n v="0"/>
    <n v="2.0499999519999998"/>
    <n v="0"/>
    <n v="0"/>
    <n v="0"/>
    <n v="197"/>
    <n v="653"/>
    <n v="197"/>
    <n v="850"/>
    <x v="2"/>
    <n v="1431"/>
  </r>
  <r>
    <n v="2026352035"/>
    <d v="2016-04-15T00:00:00"/>
    <s v="Friday"/>
    <x v="0"/>
    <n v="3821"/>
    <n v="2.369999886"/>
    <n v="2.369999886"/>
    <n v="0"/>
    <n v="0"/>
    <n v="0"/>
    <n v="2.369999886"/>
    <n v="0"/>
    <n v="0"/>
    <n v="0"/>
    <n v="188"/>
    <n v="687"/>
    <n v="188"/>
    <n v="875"/>
    <x v="2"/>
    <n v="1444"/>
  </r>
  <r>
    <n v="2026352035"/>
    <d v="2016-04-16T00:00:00"/>
    <s v="Saturday"/>
    <x v="1"/>
    <n v="2547"/>
    <n v="1.5800000430000001"/>
    <n v="1.5800000430000001"/>
    <n v="0"/>
    <n v="0"/>
    <n v="0"/>
    <n v="1.5800000430000001"/>
    <n v="0"/>
    <n v="0"/>
    <n v="0"/>
    <n v="150"/>
    <n v="728"/>
    <n v="150"/>
    <n v="878"/>
    <x v="2"/>
    <n v="1373"/>
  </r>
  <r>
    <n v="2026352035"/>
    <d v="2016-04-17T00:00:00"/>
    <s v="Sunday"/>
    <x v="1"/>
    <n v="838"/>
    <n v="0.519999981"/>
    <n v="0.519999981"/>
    <n v="0"/>
    <n v="0"/>
    <n v="0"/>
    <n v="0.519999981"/>
    <n v="0"/>
    <n v="0"/>
    <n v="0"/>
    <n v="60"/>
    <n v="1053"/>
    <n v="60"/>
    <n v="1113"/>
    <x v="2"/>
    <n v="1214"/>
  </r>
  <r>
    <n v="2026352035"/>
    <d v="2016-04-18T00:00:00"/>
    <s v="Monday"/>
    <x v="0"/>
    <n v="3325"/>
    <n v="2.0599999430000002"/>
    <n v="2.0599999430000002"/>
    <n v="0"/>
    <n v="0"/>
    <n v="0"/>
    <n v="2.0599999430000002"/>
    <n v="0"/>
    <n v="0"/>
    <n v="0"/>
    <n v="182"/>
    <n v="1062"/>
    <n v="182"/>
    <n v="1244"/>
    <x v="2"/>
    <n v="1419"/>
  </r>
  <r>
    <n v="2026352035"/>
    <d v="2016-04-19T00:00:00"/>
    <s v="Tuesday"/>
    <x v="0"/>
    <n v="2424"/>
    <n v="1.5"/>
    <n v="1.5"/>
    <n v="0"/>
    <n v="0"/>
    <n v="0"/>
    <n v="1.5"/>
    <n v="0"/>
    <n v="0"/>
    <n v="0"/>
    <n v="141"/>
    <n v="785"/>
    <n v="141"/>
    <n v="926"/>
    <x v="2"/>
    <n v="1356"/>
  </r>
  <r>
    <n v="2026352035"/>
    <d v="2016-04-20T00:00:00"/>
    <s v="Wednesday"/>
    <x v="0"/>
    <n v="7222"/>
    <n v="4.4800000190000002"/>
    <n v="4.4800000190000002"/>
    <n v="0"/>
    <n v="0"/>
    <n v="0"/>
    <n v="4.4800000190000002"/>
    <n v="0"/>
    <n v="0"/>
    <n v="0"/>
    <n v="327"/>
    <n v="623"/>
    <n v="327"/>
    <n v="950"/>
    <x v="3"/>
    <n v="1667"/>
  </r>
  <r>
    <n v="2026352035"/>
    <d v="2016-04-21T00:00:00"/>
    <s v="Thursday"/>
    <x v="0"/>
    <n v="2467"/>
    <n v="1.5299999710000001"/>
    <n v="1.5299999710000001"/>
    <n v="0"/>
    <n v="0"/>
    <n v="0"/>
    <n v="1.5299999710000001"/>
    <n v="0"/>
    <n v="0"/>
    <n v="0"/>
    <n v="153"/>
    <n v="749"/>
    <n v="153"/>
    <n v="902"/>
    <x v="2"/>
    <n v="1370"/>
  </r>
  <r>
    <n v="2026352035"/>
    <d v="2016-04-22T00:00:00"/>
    <s v="Friday"/>
    <x v="0"/>
    <n v="2915"/>
    <n v="1.809999943"/>
    <n v="1.809999943"/>
    <n v="0"/>
    <n v="0"/>
    <n v="0"/>
    <n v="1.809999943"/>
    <n v="0"/>
    <n v="0"/>
    <n v="0"/>
    <n v="162"/>
    <n v="712"/>
    <n v="162"/>
    <n v="874"/>
    <x v="2"/>
    <n v="1399"/>
  </r>
  <r>
    <n v="2026352035"/>
    <d v="2016-04-23T00:00:00"/>
    <s v="Saturday"/>
    <x v="1"/>
    <n v="12357"/>
    <n v="7.7100000380000004"/>
    <n v="7.7100000380000004"/>
    <n v="0"/>
    <n v="0"/>
    <n v="0"/>
    <n v="7.7100000380000004"/>
    <n v="0"/>
    <n v="0"/>
    <n v="0"/>
    <n v="432"/>
    <n v="458"/>
    <n v="432"/>
    <n v="890"/>
    <x v="0"/>
    <n v="1916"/>
  </r>
  <r>
    <n v="2026352035"/>
    <d v="2016-04-24T00:00:00"/>
    <s v="Sunday"/>
    <x v="1"/>
    <n v="3490"/>
    <n v="2.1600000860000002"/>
    <n v="2.1600000860000002"/>
    <n v="0"/>
    <n v="0"/>
    <n v="0"/>
    <n v="2.1600000860000002"/>
    <n v="0"/>
    <n v="0"/>
    <n v="0"/>
    <n v="164"/>
    <n v="704"/>
    <n v="164"/>
    <n v="868"/>
    <x v="2"/>
    <n v="1401"/>
  </r>
  <r>
    <n v="2026352035"/>
    <d v="2016-04-25T00:00:00"/>
    <s v="Monday"/>
    <x v="0"/>
    <n v="6017"/>
    <n v="3.7300000190000002"/>
    <n v="3.7300000190000002"/>
    <n v="0"/>
    <n v="0"/>
    <n v="0"/>
    <n v="3.7300000190000002"/>
    <n v="0"/>
    <n v="0"/>
    <n v="0"/>
    <n v="260"/>
    <n v="821"/>
    <n v="260"/>
    <n v="1081"/>
    <x v="3"/>
    <n v="1576"/>
  </r>
  <r>
    <n v="2026352035"/>
    <d v="2016-04-26T00:00:00"/>
    <s v="Tuesday"/>
    <x v="0"/>
    <n v="5933"/>
    <n v="3.6800000669999999"/>
    <n v="3.6800000669999999"/>
    <n v="0"/>
    <n v="0"/>
    <n v="0"/>
    <n v="3.6800000669999999"/>
    <n v="0"/>
    <n v="0"/>
    <n v="0"/>
    <n v="288"/>
    <n v="1018"/>
    <n v="288"/>
    <n v="1306"/>
    <x v="3"/>
    <n v="1595"/>
  </r>
  <r>
    <n v="2026352035"/>
    <d v="2016-04-27T00:00:00"/>
    <s v="Wednesday"/>
    <x v="0"/>
    <n v="6088"/>
    <n v="3.7699999809999998"/>
    <n v="3.7699999809999998"/>
    <n v="0"/>
    <n v="0"/>
    <n v="0"/>
    <n v="3.7699999809999998"/>
    <n v="0"/>
    <n v="0"/>
    <n v="0"/>
    <n v="286"/>
    <n v="586"/>
    <n v="286"/>
    <n v="872"/>
    <x v="3"/>
    <n v="1593"/>
  </r>
  <r>
    <n v="2026352035"/>
    <d v="2016-04-28T00:00:00"/>
    <s v="Thursday"/>
    <x v="0"/>
    <n v="6375"/>
    <n v="3.9500000480000002"/>
    <n v="3.9500000480000002"/>
    <n v="0"/>
    <n v="0"/>
    <n v="0"/>
    <n v="3.9500000480000002"/>
    <n v="0"/>
    <n v="0"/>
    <n v="0"/>
    <n v="331"/>
    <n v="626"/>
    <n v="331"/>
    <n v="957"/>
    <x v="3"/>
    <n v="1649"/>
  </r>
  <r>
    <n v="2026352035"/>
    <d v="2016-04-29T00:00:00"/>
    <s v="Friday"/>
    <x v="0"/>
    <n v="7604"/>
    <n v="4.7100000380000004"/>
    <n v="4.7100000380000004"/>
    <n v="0"/>
    <n v="0"/>
    <n v="0"/>
    <n v="4.7100000380000004"/>
    <n v="0"/>
    <n v="0"/>
    <n v="0"/>
    <n v="352"/>
    <n v="492"/>
    <n v="352"/>
    <n v="844"/>
    <x v="1"/>
    <n v="1692"/>
  </r>
  <r>
    <n v="2026352035"/>
    <d v="2016-04-30T00:00:00"/>
    <s v="Saturday"/>
    <x v="1"/>
    <n v="4729"/>
    <n v="2.9300000669999999"/>
    <n v="2.9300000669999999"/>
    <n v="0"/>
    <n v="0"/>
    <n v="0"/>
    <n v="2.9300000669999999"/>
    <n v="0"/>
    <n v="0"/>
    <n v="0"/>
    <n v="233"/>
    <n v="594"/>
    <n v="233"/>
    <n v="827"/>
    <x v="2"/>
    <n v="1506"/>
  </r>
  <r>
    <n v="2026352035"/>
    <d v="2016-05-01T00:00:00"/>
    <s v="Sunday"/>
    <x v="1"/>
    <n v="3609"/>
    <n v="2.2799999710000001"/>
    <n v="2.2799999710000001"/>
    <n v="0"/>
    <n v="0"/>
    <n v="0"/>
    <n v="2.2799999710000001"/>
    <n v="0"/>
    <n v="0"/>
    <n v="0"/>
    <n v="191"/>
    <n v="716"/>
    <n v="191"/>
    <n v="907"/>
    <x v="2"/>
    <n v="1447"/>
  </r>
  <r>
    <n v="2026352035"/>
    <d v="2016-05-02T00:00:00"/>
    <s v="Monday"/>
    <x v="0"/>
    <n v="7018"/>
    <n v="4.3499999049999998"/>
    <n v="4.3499999049999998"/>
    <n v="0"/>
    <n v="0"/>
    <n v="0"/>
    <n v="4.3499999049999998"/>
    <n v="0"/>
    <n v="0"/>
    <n v="0"/>
    <n v="355"/>
    <n v="716"/>
    <n v="355"/>
    <n v="1071"/>
    <x v="3"/>
    <n v="1690"/>
  </r>
  <r>
    <n v="2026352035"/>
    <d v="2016-05-03T00:00:00"/>
    <s v="Tuesday"/>
    <x v="0"/>
    <n v="5992"/>
    <n v="3.7200000289999999"/>
    <n v="3.7200000289999999"/>
    <n v="0"/>
    <n v="0"/>
    <n v="0"/>
    <n v="3.7200000289999999"/>
    <n v="0"/>
    <n v="0"/>
    <n v="0"/>
    <n v="304"/>
    <n v="981"/>
    <n v="304"/>
    <n v="1285"/>
    <x v="3"/>
    <n v="1604"/>
  </r>
  <r>
    <n v="2026352035"/>
    <d v="2016-05-04T00:00:00"/>
    <s v="Wednesday"/>
    <x v="0"/>
    <n v="6564"/>
    <n v="4.0700001720000003"/>
    <n v="4.0700001720000003"/>
    <n v="0"/>
    <n v="0"/>
    <n v="0"/>
    <n v="4.0700001720000003"/>
    <n v="0"/>
    <n v="0"/>
    <n v="0"/>
    <n v="345"/>
    <n v="530"/>
    <n v="345"/>
    <n v="875"/>
    <x v="3"/>
    <n v="1658"/>
  </r>
  <r>
    <n v="2026352035"/>
    <d v="2016-05-05T00:00:00"/>
    <s v="Thursday"/>
    <x v="0"/>
    <n v="12167"/>
    <n v="7.5399999619999996"/>
    <n v="7.5399999619999996"/>
    <n v="0"/>
    <n v="0"/>
    <n v="0"/>
    <n v="7.5399999619999996"/>
    <n v="0"/>
    <n v="0"/>
    <n v="0"/>
    <n v="475"/>
    <n v="479"/>
    <n v="475"/>
    <n v="954"/>
    <x v="0"/>
    <n v="1926"/>
  </r>
  <r>
    <n v="2026352035"/>
    <d v="2016-05-06T00:00:00"/>
    <s v="Friday"/>
    <x v="0"/>
    <n v="8198"/>
    <n v="5.079999924"/>
    <n v="5.079999924"/>
    <n v="0"/>
    <n v="0"/>
    <n v="0"/>
    <n v="5.079999924"/>
    <n v="0"/>
    <n v="0"/>
    <n v="0"/>
    <n v="383"/>
    <n v="511"/>
    <n v="383"/>
    <n v="894"/>
    <x v="1"/>
    <n v="1736"/>
  </r>
  <r>
    <n v="2026352035"/>
    <d v="2016-05-07T00:00:00"/>
    <s v="Saturday"/>
    <x v="1"/>
    <n v="4193"/>
    <n v="2.5999999049999998"/>
    <n v="2.5999999049999998"/>
    <n v="0"/>
    <n v="0"/>
    <n v="0"/>
    <n v="2.5999999049999998"/>
    <n v="0"/>
    <n v="0"/>
    <n v="0"/>
    <n v="229"/>
    <n v="665"/>
    <n v="229"/>
    <n v="894"/>
    <x v="2"/>
    <n v="1491"/>
  </r>
  <r>
    <n v="2026352035"/>
    <d v="2016-05-08T00:00:00"/>
    <s v="Sunday"/>
    <x v="1"/>
    <n v="5528"/>
    <n v="3.4500000480000002"/>
    <n v="3.4500000480000002"/>
    <n v="0"/>
    <n v="0"/>
    <n v="0"/>
    <n v="3.4500000480000002"/>
    <n v="0"/>
    <n v="0"/>
    <n v="0"/>
    <n v="258"/>
    <n v="610"/>
    <n v="258"/>
    <n v="868"/>
    <x v="3"/>
    <n v="1555"/>
  </r>
  <r>
    <n v="2026352035"/>
    <d v="2016-05-09T00:00:00"/>
    <s v="Monday"/>
    <x v="0"/>
    <n v="10685"/>
    <n v="6.6199998860000004"/>
    <n v="6.6199998860000004"/>
    <n v="0"/>
    <n v="0"/>
    <n v="0"/>
    <n v="6.5999999049999998"/>
    <n v="0"/>
    <n v="0"/>
    <n v="0"/>
    <n v="401"/>
    <n v="543"/>
    <n v="401"/>
    <n v="944"/>
    <x v="0"/>
    <n v="1869"/>
  </r>
  <r>
    <n v="2026352035"/>
    <d v="2016-05-10T00:00:00"/>
    <s v="Tuesday"/>
    <x v="0"/>
    <n v="254"/>
    <n v="0.15999999600000001"/>
    <n v="0.15999999600000001"/>
    <n v="0"/>
    <n v="0"/>
    <n v="0"/>
    <n v="0.15999999600000001"/>
    <n v="0"/>
    <n v="0"/>
    <n v="0"/>
    <n v="17"/>
    <n v="1002"/>
    <n v="17"/>
    <n v="1019"/>
    <x v="2"/>
    <n v="1141"/>
  </r>
  <r>
    <n v="2026352035"/>
    <d v="2016-05-11T00:00:00"/>
    <s v="Wednesday"/>
    <x v="0"/>
    <n v="8580"/>
    <n v="5.3200001720000003"/>
    <n v="5.3200001720000003"/>
    <n v="0"/>
    <n v="0"/>
    <n v="0"/>
    <n v="5.3200001720000003"/>
    <n v="0"/>
    <n v="0"/>
    <n v="0"/>
    <n v="330"/>
    <n v="569"/>
    <n v="330"/>
    <n v="899"/>
    <x v="1"/>
    <n v="1698"/>
  </r>
  <r>
    <n v="2026352035"/>
    <d v="2016-05-12T00:00:00"/>
    <s v="Thursday"/>
    <x v="0"/>
    <n v="8891"/>
    <n v="5.5100002290000001"/>
    <n v="5.5100002290000001"/>
    <n v="0"/>
    <n v="0"/>
    <n v="0"/>
    <n v="5.5100002290000001"/>
    <n v="0"/>
    <n v="0"/>
    <n v="0"/>
    <n v="343"/>
    <n v="330"/>
    <n v="343"/>
    <n v="673"/>
    <x v="1"/>
    <n v="1364"/>
  </r>
  <r>
    <n v="2320127002"/>
    <d v="2016-04-05T00:00:00"/>
    <s v="Tuesday"/>
    <x v="0"/>
    <n v="4931"/>
    <n v="3.3199999330000001"/>
    <n v="3.3199999330000001"/>
    <n v="0"/>
    <n v="0"/>
    <n v="0"/>
    <n v="3.3199999330000001"/>
    <n v="0"/>
    <n v="0"/>
    <n v="0"/>
    <n v="175"/>
    <n v="1265"/>
    <n v="175"/>
    <n v="1440"/>
    <x v="2"/>
    <n v="1708"/>
  </r>
  <r>
    <n v="2320127002"/>
    <d v="2016-04-06T00:00:00"/>
    <s v="Wednesday"/>
    <x v="0"/>
    <n v="6999"/>
    <n v="4.7199997900000001"/>
    <n v="4.7199997900000001"/>
    <n v="0"/>
    <n v="0"/>
    <n v="0"/>
    <n v="4.7199997900000001"/>
    <n v="0"/>
    <n v="0"/>
    <n v="0"/>
    <n v="320"/>
    <n v="1120"/>
    <n v="320"/>
    <n v="1440"/>
    <x v="3"/>
    <n v="1950"/>
  </r>
  <r>
    <n v="2320127002"/>
    <d v="2016-04-07T00:00:00"/>
    <s v="Thursday"/>
    <x v="0"/>
    <n v="1846"/>
    <n v="1.2400000099999999"/>
    <n v="1.2400000099999999"/>
    <n v="0"/>
    <n v="0"/>
    <n v="0"/>
    <n v="1.2400000099999999"/>
    <n v="0"/>
    <n v="0"/>
    <n v="0"/>
    <n v="93"/>
    <n v="1347"/>
    <n v="93"/>
    <n v="1440"/>
    <x v="2"/>
    <n v="1508"/>
  </r>
  <r>
    <n v="2320127002"/>
    <d v="2016-04-08T00:00:00"/>
    <s v="Friday"/>
    <x v="0"/>
    <n v="3417"/>
    <n v="2.2999999519999998"/>
    <n v="2.2999999519999998"/>
    <n v="0"/>
    <n v="0"/>
    <n v="0"/>
    <n v="2.2999999519999998"/>
    <n v="0"/>
    <n v="0"/>
    <n v="0"/>
    <n v="153"/>
    <n v="1287"/>
    <n v="153"/>
    <n v="1440"/>
    <x v="2"/>
    <n v="1625"/>
  </r>
  <r>
    <n v="2320127002"/>
    <d v="2016-04-09T00:00:00"/>
    <s v="Saturday"/>
    <x v="1"/>
    <n v="4863"/>
    <n v="3.2799999710000001"/>
    <n v="3.2799999710000001"/>
    <n v="0"/>
    <n v="5.9999998999999998E-2"/>
    <n v="0.41999998700000002"/>
    <n v="2.7999999519999998"/>
    <n v="0"/>
    <n v="1"/>
    <n v="11"/>
    <n v="208"/>
    <n v="1220"/>
    <n v="220"/>
    <n v="1440"/>
    <x v="2"/>
    <n v="1772"/>
  </r>
  <r>
    <n v="2320127002"/>
    <d v="2016-04-10T00:00:00"/>
    <s v="Sunday"/>
    <x v="1"/>
    <n v="2277"/>
    <n v="1.5299999710000001"/>
    <n v="1.5299999710000001"/>
    <n v="0"/>
    <n v="0"/>
    <n v="0"/>
    <n v="1.5299999710000001"/>
    <n v="0"/>
    <n v="0"/>
    <n v="0"/>
    <n v="103"/>
    <n v="1337"/>
    <n v="103"/>
    <n v="1440"/>
    <x v="2"/>
    <n v="1530"/>
  </r>
  <r>
    <n v="2320127002"/>
    <d v="2016-04-11T00:00:00"/>
    <s v="Monday"/>
    <x v="0"/>
    <n v="11230"/>
    <n v="7.670000076"/>
    <n v="7.670000076"/>
    <n v="0"/>
    <n v="0.88999998599999997"/>
    <n v="0.119999997"/>
    <n v="6.6599998469999999"/>
    <n v="0"/>
    <n v="10"/>
    <n v="2"/>
    <n v="390"/>
    <n v="1038"/>
    <n v="402"/>
    <n v="1440"/>
    <x v="0"/>
    <n v="2206"/>
  </r>
  <r>
    <n v="2320127002"/>
    <d v="2016-04-12T00:00:00"/>
    <s v="Tuesday"/>
    <x v="0"/>
    <n v="2098"/>
    <n v="1.4099999670000001"/>
    <n v="1.4099999670000001"/>
    <n v="0"/>
    <n v="0"/>
    <n v="0"/>
    <n v="1.4099999670000001"/>
    <n v="0"/>
    <n v="0"/>
    <n v="0"/>
    <n v="69"/>
    <n v="617"/>
    <n v="69"/>
    <n v="686"/>
    <x v="2"/>
    <n v="790"/>
  </r>
  <r>
    <n v="2320127002"/>
    <d v="2016-04-13T00:00:00"/>
    <s v="Wednesday"/>
    <x v="0"/>
    <n v="7275"/>
    <n v="4.9000000950000002"/>
    <n v="4.9000000950000002"/>
    <n v="0"/>
    <n v="0"/>
    <n v="0"/>
    <n v="4.9000000950000002"/>
    <n v="0"/>
    <n v="0"/>
    <n v="0"/>
    <n v="335"/>
    <n v="1105"/>
    <n v="335"/>
    <n v="1440"/>
    <x v="3"/>
    <n v="2003"/>
  </r>
  <r>
    <n v="2320127002"/>
    <d v="2016-04-14T00:00:00"/>
    <s v="Thursday"/>
    <x v="0"/>
    <n v="3973"/>
    <n v="2.6800000669999999"/>
    <n v="2.6800000669999999"/>
    <n v="0"/>
    <n v="0"/>
    <n v="0"/>
    <n v="2.6800000669999999"/>
    <n v="0"/>
    <n v="0"/>
    <n v="0"/>
    <n v="191"/>
    <n v="1249"/>
    <n v="191"/>
    <n v="1440"/>
    <x v="2"/>
    <n v="1696"/>
  </r>
  <r>
    <n v="2320127002"/>
    <d v="2016-04-15T00:00:00"/>
    <s v="Friday"/>
    <x v="0"/>
    <n v="5205"/>
    <n v="3.5099999899999998"/>
    <n v="3.5099999899999998"/>
    <n v="0"/>
    <n v="0"/>
    <n v="0"/>
    <n v="3.5099999899999998"/>
    <n v="0"/>
    <n v="0"/>
    <n v="0"/>
    <n v="245"/>
    <n v="1195"/>
    <n v="245"/>
    <n v="1440"/>
    <x v="3"/>
    <n v="1801"/>
  </r>
  <r>
    <n v="2320127002"/>
    <d v="2016-04-16T00:00:00"/>
    <s v="Saturday"/>
    <x v="1"/>
    <n v="5057"/>
    <n v="3.4100000860000002"/>
    <n v="3.4100000860000002"/>
    <n v="0"/>
    <n v="0"/>
    <n v="0"/>
    <n v="3.4000000950000002"/>
    <n v="0"/>
    <n v="0"/>
    <n v="0"/>
    <n v="195"/>
    <n v="1245"/>
    <n v="195"/>
    <n v="1440"/>
    <x v="3"/>
    <n v="1724"/>
  </r>
  <r>
    <n v="2320127002"/>
    <d v="2016-04-17T00:00:00"/>
    <s v="Sunday"/>
    <x v="1"/>
    <n v="6198"/>
    <n v="4.1799998279999997"/>
    <n v="4.1799998279999997"/>
    <n v="0"/>
    <n v="0"/>
    <n v="0"/>
    <n v="4.1799998279999997"/>
    <n v="0"/>
    <n v="0"/>
    <n v="0"/>
    <n v="249"/>
    <n v="1191"/>
    <n v="249"/>
    <n v="1440"/>
    <x v="3"/>
    <n v="1852"/>
  </r>
  <r>
    <n v="2320127002"/>
    <d v="2016-04-18T00:00:00"/>
    <s v="Monday"/>
    <x v="0"/>
    <n v="6559"/>
    <n v="4.420000076"/>
    <n v="4.420000076"/>
    <n v="0"/>
    <n v="0"/>
    <n v="0.25999999000000001"/>
    <n v="4.1399998660000001"/>
    <n v="0"/>
    <n v="0"/>
    <n v="7"/>
    <n v="260"/>
    <n v="1173"/>
    <n v="267"/>
    <n v="1440"/>
    <x v="3"/>
    <n v="1905"/>
  </r>
  <r>
    <n v="2320127002"/>
    <d v="2016-04-19T00:00:00"/>
    <s v="Tuesday"/>
    <x v="0"/>
    <n v="5997"/>
    <n v="4.0399999619999996"/>
    <n v="4.0399999619999996"/>
    <n v="0"/>
    <n v="0"/>
    <n v="0.37999999499999998"/>
    <n v="3.6600000860000002"/>
    <n v="0"/>
    <n v="0"/>
    <n v="11"/>
    <n v="228"/>
    <n v="1201"/>
    <n v="239"/>
    <n v="1440"/>
    <x v="3"/>
    <n v="1811"/>
  </r>
  <r>
    <n v="2320127002"/>
    <d v="2016-04-20T00:00:00"/>
    <s v="Wednesday"/>
    <x v="0"/>
    <n v="7192"/>
    <n v="4.8499999049999998"/>
    <n v="4.8499999049999998"/>
    <n v="0"/>
    <n v="0"/>
    <n v="0.49000000999999999"/>
    <n v="4.3400001530000001"/>
    <n v="0"/>
    <n v="0"/>
    <n v="11"/>
    <n v="283"/>
    <n v="1146"/>
    <n v="294"/>
    <n v="1440"/>
    <x v="3"/>
    <n v="1922"/>
  </r>
  <r>
    <n v="2320127002"/>
    <d v="2016-04-21T00:00:00"/>
    <s v="Thursday"/>
    <x v="0"/>
    <n v="3404"/>
    <n v="2.289999962"/>
    <n v="2.289999962"/>
    <n v="0"/>
    <n v="5.9999998999999998E-2"/>
    <n v="0.41999998700000002"/>
    <n v="1.809999943"/>
    <n v="0"/>
    <n v="1"/>
    <n v="10"/>
    <n v="127"/>
    <n v="1302"/>
    <n v="138"/>
    <n v="1440"/>
    <x v="2"/>
    <n v="1610"/>
  </r>
  <r>
    <n v="2320127002"/>
    <d v="2016-04-22T00:00:00"/>
    <s v="Friday"/>
    <x v="0"/>
    <n v="5583"/>
    <n v="3.7599999899999998"/>
    <n v="3.7599999899999998"/>
    <n v="0"/>
    <n v="0"/>
    <n v="0"/>
    <n v="3.7599999899999998"/>
    <n v="0"/>
    <n v="0"/>
    <n v="0"/>
    <n v="266"/>
    <n v="1174"/>
    <n v="266"/>
    <n v="1440"/>
    <x v="3"/>
    <n v="1851"/>
  </r>
  <r>
    <n v="2320127002"/>
    <d v="2016-04-23T00:00:00"/>
    <s v="Saturday"/>
    <x v="1"/>
    <n v="5079"/>
    <n v="3.420000076"/>
    <n v="3.420000076"/>
    <n v="0"/>
    <n v="0"/>
    <n v="0"/>
    <n v="3.420000076"/>
    <n v="0"/>
    <n v="0"/>
    <n v="0"/>
    <n v="242"/>
    <n v="1129"/>
    <n v="242"/>
    <n v="1371"/>
    <x v="3"/>
    <n v="1804"/>
  </r>
  <r>
    <n v="2320127002"/>
    <d v="2016-04-24T00:00:00"/>
    <s v="Sunday"/>
    <x v="1"/>
    <n v="4165"/>
    <n v="2.8099999430000002"/>
    <n v="2.8099999430000002"/>
    <n v="0"/>
    <n v="0"/>
    <n v="0"/>
    <n v="2.7999999519999998"/>
    <n v="0"/>
    <n v="0"/>
    <n v="0"/>
    <n v="204"/>
    <n v="1236"/>
    <n v="204"/>
    <n v="1440"/>
    <x v="2"/>
    <n v="1725"/>
  </r>
  <r>
    <n v="2320127002"/>
    <d v="2016-04-25T00:00:00"/>
    <s v="Monday"/>
    <x v="0"/>
    <n v="3588"/>
    <n v="2.420000076"/>
    <n v="2.420000076"/>
    <n v="0"/>
    <n v="0.23000000400000001"/>
    <n v="0.20000000300000001"/>
    <n v="1.9900000099999999"/>
    <n v="0"/>
    <n v="3"/>
    <n v="5"/>
    <n v="152"/>
    <n v="1280"/>
    <n v="160"/>
    <n v="1440"/>
    <x v="2"/>
    <n v="1654"/>
  </r>
  <r>
    <n v="2320127002"/>
    <d v="2016-04-26T00:00:00"/>
    <s v="Tuesday"/>
    <x v="0"/>
    <n v="3409"/>
    <n v="2.2999999519999998"/>
    <n v="2.2999999519999998"/>
    <n v="0"/>
    <n v="0"/>
    <n v="0"/>
    <n v="2.2999999519999998"/>
    <n v="0"/>
    <n v="0"/>
    <n v="0"/>
    <n v="147"/>
    <n v="1293"/>
    <n v="147"/>
    <n v="1440"/>
    <x v="2"/>
    <n v="1632"/>
  </r>
  <r>
    <n v="2320127002"/>
    <d v="2016-04-27T00:00:00"/>
    <s v="Wednesday"/>
    <x v="0"/>
    <n v="1715"/>
    <n v="1.1599999670000001"/>
    <n v="1.1599999670000001"/>
    <n v="0"/>
    <n v="0"/>
    <n v="0"/>
    <n v="1.1599999670000001"/>
    <n v="0"/>
    <n v="0"/>
    <n v="0"/>
    <n v="82"/>
    <n v="1358"/>
    <n v="82"/>
    <n v="1440"/>
    <x v="2"/>
    <n v="1481"/>
  </r>
  <r>
    <n v="2320127002"/>
    <d v="2016-04-28T00:00:00"/>
    <s v="Thursday"/>
    <x v="0"/>
    <n v="1532"/>
    <n v="1.0299999710000001"/>
    <n v="1.0299999710000001"/>
    <n v="0"/>
    <n v="0"/>
    <n v="0"/>
    <n v="1.0299999710000001"/>
    <n v="0"/>
    <n v="0"/>
    <n v="0"/>
    <n v="76"/>
    <n v="1364"/>
    <n v="76"/>
    <n v="1440"/>
    <x v="2"/>
    <n v="1473"/>
  </r>
  <r>
    <n v="2320127002"/>
    <d v="2016-04-29T00:00:00"/>
    <s v="Friday"/>
    <x v="0"/>
    <n v="924"/>
    <n v="0.62000000499999997"/>
    <n v="0.62000000499999997"/>
    <n v="0"/>
    <n v="0"/>
    <n v="0"/>
    <n v="0.62000000499999997"/>
    <n v="0"/>
    <n v="0"/>
    <n v="0"/>
    <n v="45"/>
    <n v="1395"/>
    <n v="45"/>
    <n v="1440"/>
    <x v="2"/>
    <n v="1410"/>
  </r>
  <r>
    <n v="2320127002"/>
    <d v="2016-04-30T00:00:00"/>
    <s v="Saturday"/>
    <x v="1"/>
    <n v="4571"/>
    <n v="3.079999924"/>
    <n v="3.079999924"/>
    <n v="0"/>
    <n v="0"/>
    <n v="0"/>
    <n v="3.0699999330000001"/>
    <n v="0"/>
    <n v="0"/>
    <n v="0"/>
    <n v="234"/>
    <n v="1206"/>
    <n v="234"/>
    <n v="1440"/>
    <x v="2"/>
    <n v="1779"/>
  </r>
  <r>
    <n v="2320127002"/>
    <d v="2016-05-01T00:00:00"/>
    <s v="Sunday"/>
    <x v="1"/>
    <n v="772"/>
    <n v="0.519999981"/>
    <n v="0.519999981"/>
    <n v="0"/>
    <n v="0"/>
    <n v="0"/>
    <n v="0.519999981"/>
    <n v="0"/>
    <n v="0"/>
    <n v="0"/>
    <n v="40"/>
    <n v="1400"/>
    <n v="40"/>
    <n v="1440"/>
    <x v="2"/>
    <n v="1403"/>
  </r>
  <r>
    <n v="2320127002"/>
    <d v="2016-05-02T00:00:00"/>
    <s v="Monday"/>
    <x v="0"/>
    <n v="3634"/>
    <n v="2.4500000480000002"/>
    <n v="2.4500000480000002"/>
    <n v="0"/>
    <n v="0.36000001399999998"/>
    <n v="0.209999993"/>
    <n v="1.8799999949999999"/>
    <n v="0"/>
    <n v="5"/>
    <n v="6"/>
    <n v="123"/>
    <n v="1306"/>
    <n v="134"/>
    <n v="1440"/>
    <x v="2"/>
    <n v="1613"/>
  </r>
  <r>
    <n v="2320127002"/>
    <d v="2016-05-03T00:00:00"/>
    <s v="Tuesday"/>
    <x v="0"/>
    <n v="7443"/>
    <n v="5.0199999809999998"/>
    <n v="5.0199999809999998"/>
    <n v="0"/>
    <n v="1.4900000099999999"/>
    <n v="0.37000000500000002"/>
    <n v="3.1600000860000002"/>
    <n v="0"/>
    <n v="20"/>
    <n v="10"/>
    <n v="206"/>
    <n v="1204"/>
    <n v="236"/>
    <n v="1440"/>
    <x v="3"/>
    <n v="1878"/>
  </r>
  <r>
    <n v="2320127002"/>
    <d v="2016-05-04T00:00:00"/>
    <s v="Wednesday"/>
    <x v="0"/>
    <n v="1201"/>
    <n v="0.810000002"/>
    <n v="0.810000002"/>
    <n v="0"/>
    <n v="0"/>
    <n v="0"/>
    <n v="0.810000002"/>
    <n v="0"/>
    <n v="0"/>
    <n v="0"/>
    <n v="52"/>
    <n v="1388"/>
    <n v="52"/>
    <n v="1440"/>
    <x v="2"/>
    <n v="1426"/>
  </r>
  <r>
    <n v="2320127002"/>
    <d v="2016-05-05T00:00:00"/>
    <s v="Thursday"/>
    <x v="0"/>
    <n v="5202"/>
    <n v="3.5099999899999998"/>
    <n v="3.5099999899999998"/>
    <n v="0"/>
    <n v="0"/>
    <n v="0.38999998600000002"/>
    <n v="3.1099998950000001"/>
    <n v="0"/>
    <n v="0"/>
    <n v="11"/>
    <n v="223"/>
    <n v="1206"/>
    <n v="234"/>
    <n v="1440"/>
    <x v="3"/>
    <n v="1780"/>
  </r>
  <r>
    <n v="2320127002"/>
    <d v="2016-05-06T00:00:00"/>
    <s v="Friday"/>
    <x v="0"/>
    <n v="4878"/>
    <n v="3.289999962"/>
    <n v="3.289999962"/>
    <n v="0"/>
    <n v="0"/>
    <n v="0"/>
    <n v="3.289999962"/>
    <n v="0"/>
    <n v="0"/>
    <n v="0"/>
    <n v="204"/>
    <n v="1236"/>
    <n v="204"/>
    <n v="1440"/>
    <x v="2"/>
    <n v="1742"/>
  </r>
  <r>
    <n v="2320127002"/>
    <d v="2016-05-07T00:00:00"/>
    <s v="Saturday"/>
    <x v="1"/>
    <n v="7379"/>
    <n v="4.9699997900000001"/>
    <n v="4.9699997900000001"/>
    <n v="0"/>
    <n v="0"/>
    <n v="0"/>
    <n v="4.9699997900000001"/>
    <n v="0"/>
    <n v="0"/>
    <n v="0"/>
    <n v="319"/>
    <n v="1121"/>
    <n v="319"/>
    <n v="1440"/>
    <x v="3"/>
    <n v="1972"/>
  </r>
  <r>
    <n v="2320127002"/>
    <d v="2016-05-08T00:00:00"/>
    <s v="Sunday"/>
    <x v="1"/>
    <n v="5161"/>
    <n v="3.4800000190000002"/>
    <n v="3.4800000190000002"/>
    <n v="0"/>
    <n v="0"/>
    <n v="0"/>
    <n v="3.4700000289999999"/>
    <n v="0"/>
    <n v="0"/>
    <n v="0"/>
    <n v="247"/>
    <n v="1193"/>
    <n v="247"/>
    <n v="1440"/>
    <x v="3"/>
    <n v="1821"/>
  </r>
  <r>
    <n v="2320127002"/>
    <d v="2016-05-09T00:00:00"/>
    <s v="Monday"/>
    <x v="0"/>
    <n v="3090"/>
    <n v="2.079999924"/>
    <n v="2.079999924"/>
    <n v="0"/>
    <n v="0"/>
    <n v="0"/>
    <n v="2.079999924"/>
    <n v="0"/>
    <n v="0"/>
    <n v="0"/>
    <n v="145"/>
    <n v="1295"/>
    <n v="145"/>
    <n v="1440"/>
    <x v="2"/>
    <n v="1630"/>
  </r>
  <r>
    <n v="2320127002"/>
    <d v="2016-05-10T00:00:00"/>
    <s v="Tuesday"/>
    <x v="0"/>
    <n v="6227"/>
    <n v="4.1999998090000004"/>
    <n v="4.1999998090000004"/>
    <n v="0"/>
    <n v="0"/>
    <n v="0"/>
    <n v="4.1999998090000004"/>
    <n v="0"/>
    <n v="0"/>
    <n v="0"/>
    <n v="290"/>
    <n v="1150"/>
    <n v="290"/>
    <n v="1440"/>
    <x v="3"/>
    <n v="1899"/>
  </r>
  <r>
    <n v="2320127002"/>
    <d v="2016-05-11T00:00:00"/>
    <s v="Wednesday"/>
    <x v="0"/>
    <n v="6424"/>
    <n v="4.329999924"/>
    <n v="4.329999924"/>
    <n v="0"/>
    <n v="0"/>
    <n v="0"/>
    <n v="4.329999924"/>
    <n v="0"/>
    <n v="0"/>
    <n v="0"/>
    <n v="300"/>
    <n v="1140"/>
    <n v="300"/>
    <n v="1440"/>
    <x v="3"/>
    <n v="1903"/>
  </r>
  <r>
    <n v="2320127002"/>
    <d v="2016-05-12T00:00:00"/>
    <s v="Thursday"/>
    <x v="0"/>
    <n v="2661"/>
    <n v="1.789999962"/>
    <n v="1.789999962"/>
    <n v="0"/>
    <n v="0"/>
    <n v="0"/>
    <n v="1.789999962"/>
    <n v="0"/>
    <n v="0"/>
    <n v="0"/>
    <n v="128"/>
    <n v="830"/>
    <n v="128"/>
    <n v="958"/>
    <x v="2"/>
    <n v="1125"/>
  </r>
  <r>
    <n v="2347167796"/>
    <d v="2016-03-29T00:00:00"/>
    <s v="Tuesday"/>
    <x v="0"/>
    <n v="10272"/>
    <n v="6.7899999619999996"/>
    <n v="6.7899999619999996"/>
    <n v="0"/>
    <n v="0.15999999600000001"/>
    <n v="3.119999886"/>
    <n v="3.5"/>
    <n v="0"/>
    <n v="2"/>
    <n v="58"/>
    <n v="208"/>
    <n v="700"/>
    <n v="268"/>
    <n v="968"/>
    <x v="0"/>
    <n v="2041"/>
  </r>
  <r>
    <n v="2347167796"/>
    <d v="2016-03-30T00:00:00"/>
    <s v="Wednesday"/>
    <x v="0"/>
    <n v="10533"/>
    <n v="7.0999999049999998"/>
    <n v="7.0999999049999998"/>
    <n v="0"/>
    <n v="1.769999981"/>
    <n v="2.0599999430000002"/>
    <n v="3.2699999809999998"/>
    <n v="0"/>
    <n v="21"/>
    <n v="35"/>
    <n v="255"/>
    <n v="615"/>
    <n v="311"/>
    <n v="926"/>
    <x v="0"/>
    <n v="2187"/>
  </r>
  <r>
    <n v="2347167796"/>
    <d v="2016-03-31T00:00:00"/>
    <s v="Thursday"/>
    <x v="0"/>
    <n v="6760"/>
    <n v="4.4699997900000001"/>
    <n v="4.4699997900000001"/>
    <n v="0"/>
    <n v="0"/>
    <n v="0"/>
    <n v="4.4699997900000001"/>
    <n v="0"/>
    <n v="0"/>
    <n v="0"/>
    <n v="250"/>
    <n v="613"/>
    <n v="250"/>
    <n v="863"/>
    <x v="3"/>
    <n v="1929"/>
  </r>
  <r>
    <n v="2347167796"/>
    <d v="2016-04-01T00:00:00"/>
    <s v="Friday"/>
    <x v="0"/>
    <n v="8328"/>
    <n v="5.5100002290000001"/>
    <n v="5.5100002290000001"/>
    <n v="0"/>
    <n v="0"/>
    <n v="2"/>
    <n v="3.5"/>
    <n v="0"/>
    <n v="0"/>
    <n v="33"/>
    <n v="212"/>
    <n v="804"/>
    <n v="245"/>
    <n v="1049"/>
    <x v="1"/>
    <n v="1935"/>
  </r>
  <r>
    <n v="2347167796"/>
    <d v="2016-04-02T00:00:00"/>
    <s v="Saturday"/>
    <x v="1"/>
    <n v="15459"/>
    <n v="10.22000027"/>
    <n v="10.22000027"/>
    <n v="0"/>
    <n v="3.5899999139999998"/>
    <n v="0.810000002"/>
    <n v="5.8200001720000003"/>
    <n v="0"/>
    <n v="51"/>
    <n v="16"/>
    <n v="327"/>
    <n v="583"/>
    <n v="394"/>
    <n v="977"/>
    <x v="0"/>
    <n v="2438"/>
  </r>
  <r>
    <n v="2347167796"/>
    <d v="2016-04-03T00:00:00"/>
    <s v="Sunday"/>
    <x v="1"/>
    <n v="7485"/>
    <n v="4.9499998090000004"/>
    <n v="4.9499998090000004"/>
    <n v="0"/>
    <n v="0"/>
    <n v="0"/>
    <n v="4.9499998090000004"/>
    <n v="0"/>
    <n v="0"/>
    <n v="0"/>
    <n v="324"/>
    <n v="491"/>
    <n v="324"/>
    <n v="815"/>
    <x v="3"/>
    <n v="2035"/>
  </r>
  <r>
    <n v="2347167796"/>
    <d v="2016-04-04T00:00:00"/>
    <s v="Monday"/>
    <x v="0"/>
    <n v="10254"/>
    <n v="6.8000001909999996"/>
    <n v="6.8000001909999996"/>
    <n v="0"/>
    <n v="1.4199999569999999"/>
    <n v="1.230000019"/>
    <n v="4.1599998469999999"/>
    <n v="0"/>
    <n v="21"/>
    <n v="25"/>
    <n v="231"/>
    <n v="638"/>
    <n v="277"/>
    <n v="915"/>
    <x v="0"/>
    <n v="2099"/>
  </r>
  <r>
    <n v="2347167796"/>
    <d v="2016-04-05T00:00:00"/>
    <s v="Tuesday"/>
    <x v="0"/>
    <n v="10114"/>
    <n v="6.8200001720000003"/>
    <n v="6.8200001720000003"/>
    <n v="0"/>
    <n v="1.6399999860000001"/>
    <n v="0.47999998900000002"/>
    <n v="4.6799998279999997"/>
    <n v="0"/>
    <n v="18"/>
    <n v="9"/>
    <n v="269"/>
    <n v="696"/>
    <n v="296"/>
    <n v="992"/>
    <x v="0"/>
    <n v="2096"/>
  </r>
  <r>
    <n v="2347167796"/>
    <d v="2016-04-06T00:00:00"/>
    <s v="Wednesday"/>
    <x v="0"/>
    <n v="11107"/>
    <n v="7.3400001530000001"/>
    <n v="7.3400001530000001"/>
    <n v="0"/>
    <n v="0.89999997600000003"/>
    <n v="2.7599999899999998"/>
    <n v="3.6800000669999999"/>
    <n v="0"/>
    <n v="14"/>
    <n v="46"/>
    <n v="196"/>
    <n v="759"/>
    <n v="256"/>
    <n v="1015"/>
    <x v="0"/>
    <n v="2058"/>
  </r>
  <r>
    <n v="2347167796"/>
    <d v="2016-04-07T00:00:00"/>
    <s v="Thursday"/>
    <x v="0"/>
    <n v="10320"/>
    <n v="6.8499999049999998"/>
    <n v="6.8499999049999998"/>
    <n v="0"/>
    <n v="0.68000000699999996"/>
    <n v="1.230000019"/>
    <n v="4.9400000569999998"/>
    <n v="0"/>
    <n v="15"/>
    <n v="32"/>
    <n v="315"/>
    <n v="1002"/>
    <n v="362"/>
    <n v="1364"/>
    <x v="0"/>
    <n v="2338"/>
  </r>
  <r>
    <n v="2347167796"/>
    <d v="2016-04-08T00:00:00"/>
    <s v="Friday"/>
    <x v="0"/>
    <n v="10209"/>
    <n v="6.75"/>
    <n v="6.75"/>
    <n v="0"/>
    <n v="0.15999999600000001"/>
    <n v="0.34999999399999998"/>
    <n v="6.2300000190000002"/>
    <n v="0"/>
    <n v="2"/>
    <n v="6"/>
    <n v="316"/>
    <n v="711"/>
    <n v="324"/>
    <n v="1035"/>
    <x v="0"/>
    <n v="2104"/>
  </r>
  <r>
    <n v="2347167796"/>
    <d v="2016-04-09T00:00:00"/>
    <s v="Saturday"/>
    <x v="1"/>
    <n v="16081"/>
    <n v="10.630000109999999"/>
    <n v="10.630000109999999"/>
    <n v="0"/>
    <n v="1.25"/>
    <n v="1.8200000519999999"/>
    <n v="7.5599999430000002"/>
    <n v="0"/>
    <n v="16"/>
    <n v="32"/>
    <n v="401"/>
    <n v="970"/>
    <n v="449"/>
    <n v="1419"/>
    <x v="0"/>
    <n v="2488"/>
  </r>
  <r>
    <n v="2347167796"/>
    <d v="2016-04-10T00:00:00"/>
    <s v="Sunday"/>
    <x v="1"/>
    <n v="10078"/>
    <n v="6.829999924"/>
    <n v="6.829999924"/>
    <n v="0"/>
    <n v="1.019999981"/>
    <n v="0.119999997"/>
    <n v="5.6900000569999998"/>
    <n v="0"/>
    <n v="12"/>
    <n v="3"/>
    <n v="303"/>
    <n v="463"/>
    <n v="318"/>
    <n v="781"/>
    <x v="0"/>
    <n v="2164"/>
  </r>
  <r>
    <n v="2347167796"/>
    <d v="2016-04-11T00:00:00"/>
    <s v="Monday"/>
    <x v="0"/>
    <n v="10001"/>
    <n v="6.6100001339999999"/>
    <n v="6.6100001339999999"/>
    <n v="0"/>
    <n v="0.33000001299999998"/>
    <n v="2.9300000669999999"/>
    <n v="3.3599998950000001"/>
    <n v="0"/>
    <n v="5"/>
    <n v="52"/>
    <n v="196"/>
    <n v="788"/>
    <n v="253"/>
    <n v="1041"/>
    <x v="0"/>
    <n v="2009"/>
  </r>
  <r>
    <n v="2347167796"/>
    <d v="2016-04-13T00:00:00"/>
    <s v="Wednesday"/>
    <x v="0"/>
    <n v="10352"/>
    <n v="7.0100002290000001"/>
    <n v="7.0100002290000001"/>
    <n v="0"/>
    <n v="1.6599999670000001"/>
    <n v="1.940000057"/>
    <n v="3.4100000860000002"/>
    <n v="0"/>
    <n v="19"/>
    <n v="32"/>
    <n v="195"/>
    <n v="676"/>
    <n v="246"/>
    <n v="922"/>
    <x v="0"/>
    <n v="2038"/>
  </r>
  <r>
    <n v="2347167796"/>
    <d v="2016-04-14T00:00:00"/>
    <s v="Thursday"/>
    <x v="0"/>
    <n v="10129"/>
    <n v="6.6999998090000004"/>
    <n v="6.6999998090000004"/>
    <n v="0"/>
    <n v="0.02"/>
    <n v="2.7400000100000002"/>
    <n v="3.9400000569999998"/>
    <n v="0"/>
    <n v="1"/>
    <n v="48"/>
    <n v="206"/>
    <n v="705"/>
    <n v="255"/>
    <n v="960"/>
    <x v="0"/>
    <n v="2010"/>
  </r>
  <r>
    <n v="2347167796"/>
    <d v="2016-04-15T00:00:00"/>
    <s v="Friday"/>
    <x v="0"/>
    <n v="10465"/>
    <n v="6.920000076"/>
    <n v="6.920000076"/>
    <n v="0"/>
    <n v="7.0000000000000007E-2"/>
    <n v="1.4199999569999999"/>
    <n v="5.4299998279999997"/>
    <n v="0"/>
    <n v="1"/>
    <n v="24"/>
    <n v="284"/>
    <n v="720"/>
    <n v="309"/>
    <n v="1029"/>
    <x v="0"/>
    <n v="2133"/>
  </r>
  <r>
    <n v="2347167796"/>
    <d v="2016-04-16T00:00:00"/>
    <s v="Saturday"/>
    <x v="1"/>
    <n v="22244"/>
    <n v="15.079999920000001"/>
    <n v="15.079999920000001"/>
    <n v="0"/>
    <n v="5.4499998090000004"/>
    <n v="4.0999999049999998"/>
    <n v="5.5300002099999999"/>
    <n v="0"/>
    <n v="66"/>
    <n v="72"/>
    <n v="268"/>
    <n v="968"/>
    <n v="406"/>
    <n v="1374"/>
    <x v="0"/>
    <n v="2670"/>
  </r>
  <r>
    <n v="2347167796"/>
    <d v="2016-04-17T00:00:00"/>
    <s v="Sunday"/>
    <x v="1"/>
    <n v="5472"/>
    <n v="3.619999886"/>
    <n v="3.619999886"/>
    <n v="0"/>
    <n v="7.9999998000000003E-2"/>
    <n v="0.280000001"/>
    <n v="3.2599999899999998"/>
    <n v="0"/>
    <n v="1"/>
    <n v="7"/>
    <n v="249"/>
    <n v="508"/>
    <n v="257"/>
    <n v="765"/>
    <x v="3"/>
    <n v="1882"/>
  </r>
  <r>
    <n v="2347167796"/>
    <d v="2016-04-18T00:00:00"/>
    <s v="Monday"/>
    <x v="0"/>
    <n v="8247"/>
    <n v="5.4499998090000004"/>
    <n v="5.4499998090000004"/>
    <n v="0"/>
    <n v="0.790000021"/>
    <n v="0.86000001400000003"/>
    <n v="3.789999962"/>
    <n v="0"/>
    <n v="11"/>
    <n v="16"/>
    <n v="206"/>
    <n v="678"/>
    <n v="233"/>
    <n v="911"/>
    <x v="1"/>
    <n v="1944"/>
  </r>
  <r>
    <n v="2347167796"/>
    <d v="2016-04-19T00:00:00"/>
    <s v="Tuesday"/>
    <x v="0"/>
    <n v="6711"/>
    <n v="4.4400000569999998"/>
    <n v="4.4400000569999998"/>
    <n v="0"/>
    <n v="0"/>
    <n v="0"/>
    <n v="4.4400000569999998"/>
    <n v="0"/>
    <n v="0"/>
    <n v="7"/>
    <n v="382"/>
    <n v="648"/>
    <n v="389"/>
    <n v="1037"/>
    <x v="3"/>
    <n v="2346"/>
  </r>
  <r>
    <n v="2347167796"/>
    <d v="2016-04-20T00:00:00"/>
    <s v="Wednesday"/>
    <x v="0"/>
    <n v="10999"/>
    <n v="7.2699999809999998"/>
    <n v="7.2699999809999998"/>
    <n v="0"/>
    <n v="0.68000000699999996"/>
    <n v="1.809999943"/>
    <n v="4.7800002099999999"/>
    <n v="0"/>
    <n v="11"/>
    <n v="43"/>
    <n v="269"/>
    <n v="1011"/>
    <n v="323"/>
    <n v="1334"/>
    <x v="0"/>
    <n v="2198"/>
  </r>
  <r>
    <n v="2347167796"/>
    <d v="2016-04-21T00:00:00"/>
    <s v="Thursday"/>
    <x v="0"/>
    <n v="10080"/>
    <n v="6.75"/>
    <n v="6.75"/>
    <n v="0"/>
    <n v="1.8500000240000001"/>
    <n v="1.5299999710000001"/>
    <n v="3.380000114"/>
    <n v="0"/>
    <n v="23"/>
    <n v="26"/>
    <n v="208"/>
    <n v="761"/>
    <n v="257"/>
    <n v="1018"/>
    <x v="0"/>
    <n v="2048"/>
  </r>
  <r>
    <n v="2347167796"/>
    <d v="2016-04-22T00:00:00"/>
    <s v="Friday"/>
    <x v="0"/>
    <n v="7804"/>
    <n v="5.1599998469999999"/>
    <n v="5.1599998469999999"/>
    <n v="0"/>
    <n v="0.560000002"/>
    <n v="1.6799999480000001"/>
    <n v="2.920000076"/>
    <n v="0"/>
    <n v="9"/>
    <n v="27"/>
    <n v="206"/>
    <n v="781"/>
    <n v="242"/>
    <n v="1023"/>
    <x v="1"/>
    <n v="1946"/>
  </r>
  <r>
    <n v="2347167796"/>
    <d v="2016-04-23T00:00:00"/>
    <s v="Saturday"/>
    <x v="1"/>
    <n v="16901"/>
    <n v="11.369999890000001"/>
    <n v="11.369999890000001"/>
    <n v="0"/>
    <n v="2.7799999710000001"/>
    <n v="1.4500000479999999"/>
    <n v="7.1500000950000002"/>
    <n v="0"/>
    <n v="32"/>
    <n v="35"/>
    <n v="360"/>
    <n v="591"/>
    <n v="427"/>
    <n v="1018"/>
    <x v="0"/>
    <n v="2629"/>
  </r>
  <r>
    <n v="2347167796"/>
    <d v="2016-04-24T00:00:00"/>
    <s v="Sunday"/>
    <x v="1"/>
    <n v="9471"/>
    <n v="6.2600002290000001"/>
    <n v="6.2600002290000001"/>
    <n v="0"/>
    <n v="0"/>
    <n v="0"/>
    <n v="6.2600002290000001"/>
    <n v="0"/>
    <n v="0"/>
    <n v="0"/>
    <n v="360"/>
    <n v="584"/>
    <n v="360"/>
    <n v="944"/>
    <x v="1"/>
    <n v="2187"/>
  </r>
  <r>
    <n v="2347167796"/>
    <d v="2016-04-25T00:00:00"/>
    <s v="Monday"/>
    <x v="0"/>
    <n v="9482"/>
    <n v="6.3800001139999996"/>
    <n v="6.3800001139999996"/>
    <n v="0"/>
    <n v="1.269999981"/>
    <n v="0.519999981"/>
    <n v="4.5999999049999998"/>
    <n v="0"/>
    <n v="15"/>
    <n v="11"/>
    <n v="277"/>
    <n v="653"/>
    <n v="303"/>
    <n v="956"/>
    <x v="1"/>
    <n v="2095"/>
  </r>
  <r>
    <n v="2347167796"/>
    <d v="2016-04-26T00:00:00"/>
    <s v="Tuesday"/>
    <x v="0"/>
    <n v="5980"/>
    <n v="3.9500000480000002"/>
    <n v="3.9500000480000002"/>
    <n v="0"/>
    <n v="0"/>
    <n v="0"/>
    <n v="3.9500000480000002"/>
    <n v="0"/>
    <n v="0"/>
    <n v="0"/>
    <n v="227"/>
    <n v="732"/>
    <n v="227"/>
    <n v="959"/>
    <x v="3"/>
    <n v="1861"/>
  </r>
  <r>
    <n v="2347167796"/>
    <d v="2016-04-27T00:00:00"/>
    <s v="Wednesday"/>
    <x v="0"/>
    <n v="11423"/>
    <n v="7.579999924"/>
    <n v="7.579999924"/>
    <n v="0"/>
    <n v="1.8600000139999999"/>
    <n v="0.40000000600000002"/>
    <n v="5.3200001720000003"/>
    <n v="0"/>
    <n v="26"/>
    <n v="9"/>
    <n v="295"/>
    <n v="623"/>
    <n v="330"/>
    <n v="953"/>
    <x v="0"/>
    <n v="2194"/>
  </r>
  <r>
    <n v="2347167796"/>
    <d v="2016-04-28T00:00:00"/>
    <s v="Thursday"/>
    <x v="0"/>
    <n v="5439"/>
    <n v="3.5999999049999998"/>
    <n v="3.5999999049999998"/>
    <n v="0"/>
    <n v="0"/>
    <n v="0"/>
    <n v="3.5999999049999998"/>
    <n v="0"/>
    <n v="0"/>
    <n v="0"/>
    <n v="229"/>
    <n v="764"/>
    <n v="229"/>
    <n v="993"/>
    <x v="3"/>
    <n v="1854"/>
  </r>
  <r>
    <n v="2873212765"/>
    <d v="2016-04-01T00:00:00"/>
    <s v="Friday"/>
    <x v="0"/>
    <n v="890"/>
    <n v="0.60000002399999997"/>
    <n v="0.60000002399999997"/>
    <n v="0"/>
    <n v="0"/>
    <n v="0"/>
    <n v="0.60000002399999997"/>
    <n v="0"/>
    <n v="0"/>
    <n v="0"/>
    <n v="41"/>
    <n v="1399"/>
    <n v="41"/>
    <n v="1440"/>
    <x v="2"/>
    <n v="1335"/>
  </r>
  <r>
    <n v="2873212765"/>
    <d v="2016-04-02T00:00:00"/>
    <s v="Saturday"/>
    <x v="1"/>
    <n v="2214"/>
    <n v="1.4900000099999999"/>
    <n v="1.4900000099999999"/>
    <n v="0"/>
    <n v="0"/>
    <n v="0"/>
    <n v="1.4900000099999999"/>
    <n v="0"/>
    <n v="0"/>
    <n v="0"/>
    <n v="197"/>
    <n v="1243"/>
    <n v="197"/>
    <n v="1440"/>
    <x v="2"/>
    <n v="1559"/>
  </r>
  <r>
    <n v="2873212765"/>
    <d v="2016-04-03T00:00:00"/>
    <s v="Sunday"/>
    <x v="1"/>
    <n v="7640"/>
    <n v="5.1300001139999996"/>
    <n v="5.1300001139999996"/>
    <n v="0"/>
    <n v="0.189999998"/>
    <n v="0.80000001200000004"/>
    <n v="4.1500000950000002"/>
    <n v="0"/>
    <n v="3"/>
    <n v="15"/>
    <n v="315"/>
    <n v="1107"/>
    <n v="333"/>
    <n v="1440"/>
    <x v="1"/>
    <n v="1845"/>
  </r>
  <r>
    <n v="2873212765"/>
    <d v="2016-04-04T00:00:00"/>
    <s v="Monday"/>
    <x v="0"/>
    <n v="9713"/>
    <n v="6.5300002099999999"/>
    <n v="6.5300002099999999"/>
    <n v="0"/>
    <n v="0.34000000400000002"/>
    <n v="0.88999998599999997"/>
    <n v="5.2899999619999996"/>
    <n v="0"/>
    <n v="6"/>
    <n v="24"/>
    <n v="355"/>
    <n v="1055"/>
    <n v="385"/>
    <n v="1440"/>
    <x v="1"/>
    <n v="2046"/>
  </r>
  <r>
    <n v="2873212765"/>
    <d v="2016-04-05T00:00:00"/>
    <s v="Tuesday"/>
    <x v="0"/>
    <n v="8432"/>
    <n v="5.670000076"/>
    <n v="5.670000076"/>
    <n v="0"/>
    <n v="0"/>
    <n v="0"/>
    <n v="5.6500000950000002"/>
    <n v="0.01"/>
    <n v="0"/>
    <n v="0"/>
    <n v="374"/>
    <n v="1066"/>
    <n v="374"/>
    <n v="1440"/>
    <x v="1"/>
    <n v="1953"/>
  </r>
  <r>
    <n v="2873212765"/>
    <d v="2016-04-06T00:00:00"/>
    <s v="Wednesday"/>
    <x v="0"/>
    <n v="7350"/>
    <n v="4.9400000569999998"/>
    <n v="4.9400000569999998"/>
    <n v="0"/>
    <n v="0"/>
    <n v="0"/>
    <n v="4.9400000569999998"/>
    <n v="0"/>
    <n v="0"/>
    <n v="0"/>
    <n v="382"/>
    <n v="1058"/>
    <n v="382"/>
    <n v="1440"/>
    <x v="3"/>
    <n v="1910"/>
  </r>
  <r>
    <n v="2873212765"/>
    <d v="2016-04-07T00:00:00"/>
    <s v="Thursday"/>
    <x v="0"/>
    <n v="9353"/>
    <n v="6.3099999430000002"/>
    <n v="6.3099999430000002"/>
    <n v="0"/>
    <n v="0.37000000500000002"/>
    <n v="0.689999998"/>
    <n v="5.2399997709999999"/>
    <n v="0"/>
    <n v="5"/>
    <n v="17"/>
    <n v="363"/>
    <n v="1055"/>
    <n v="385"/>
    <n v="1440"/>
    <x v="1"/>
    <n v="2035"/>
  </r>
  <r>
    <n v="2873212765"/>
    <d v="2016-04-08T00:00:00"/>
    <s v="Friday"/>
    <x v="0"/>
    <n v="7157"/>
    <n v="4.8099999430000002"/>
    <n v="4.8099999430000002"/>
    <n v="0"/>
    <n v="0"/>
    <n v="0"/>
    <n v="4.8099999430000002"/>
    <n v="0"/>
    <n v="0"/>
    <n v="0"/>
    <n v="380"/>
    <n v="1060"/>
    <n v="380"/>
    <n v="1440"/>
    <x v="3"/>
    <n v="1944"/>
  </r>
  <r>
    <n v="2873212765"/>
    <d v="2016-04-09T00:00:00"/>
    <s v="Saturday"/>
    <x v="1"/>
    <n v="14103"/>
    <n v="9.5600004199999997"/>
    <n v="9.5600004199999997"/>
    <n v="0"/>
    <n v="3.0199999809999998"/>
    <n v="0.40999999599999998"/>
    <n v="6.1399998660000001"/>
    <n v="0.01"/>
    <n v="46"/>
    <n v="8"/>
    <n v="288"/>
    <n v="1098"/>
    <n v="342"/>
    <n v="1440"/>
    <x v="0"/>
    <n v="2257"/>
  </r>
  <r>
    <n v="2873212765"/>
    <d v="2016-04-10T00:00:00"/>
    <s v="Sunday"/>
    <x v="1"/>
    <n v="5290"/>
    <n v="3.5499999519999998"/>
    <n v="3.5499999519999998"/>
    <n v="0"/>
    <n v="3.9999999000000001E-2"/>
    <n v="0.34000000400000002"/>
    <n v="3.170000076"/>
    <n v="0"/>
    <n v="1"/>
    <n v="8"/>
    <n v="251"/>
    <n v="1180"/>
    <n v="260"/>
    <n v="1440"/>
    <x v="3"/>
    <n v="1724"/>
  </r>
  <r>
    <n v="2873212765"/>
    <d v="2016-04-11T00:00:00"/>
    <s v="Monday"/>
    <x v="0"/>
    <n v="7497"/>
    <n v="5.0399999619999996"/>
    <n v="5.0399999619999996"/>
    <n v="0"/>
    <n v="0"/>
    <n v="0"/>
    <n v="5.0399999619999996"/>
    <n v="0"/>
    <n v="0"/>
    <n v="0"/>
    <n v="357"/>
    <n v="882"/>
    <n v="357"/>
    <n v="1239"/>
    <x v="3"/>
    <n v="1741"/>
  </r>
  <r>
    <n v="2873212765"/>
    <d v="2016-04-13T00:00:00"/>
    <s v="Wednesday"/>
    <x v="0"/>
    <n v="7618"/>
    <n v="5.1199998860000004"/>
    <n v="5.1199998860000004"/>
    <n v="0"/>
    <n v="0"/>
    <n v="0.219999999"/>
    <n v="4.8800001139999996"/>
    <n v="0.02"/>
    <n v="0"/>
    <n v="8"/>
    <n v="404"/>
    <n v="1028"/>
    <n v="412"/>
    <n v="1440"/>
    <x v="1"/>
    <n v="2004"/>
  </r>
  <r>
    <n v="2873212765"/>
    <d v="2016-04-14T00:00:00"/>
    <s v="Thursday"/>
    <x v="0"/>
    <n v="7910"/>
    <n v="5.3200001720000003"/>
    <n v="5.3200001720000003"/>
    <n v="0"/>
    <n v="0"/>
    <n v="0"/>
    <n v="5.3200001720000003"/>
    <n v="0"/>
    <n v="0"/>
    <n v="0"/>
    <n v="331"/>
    <n v="1109"/>
    <n v="331"/>
    <n v="1440"/>
    <x v="1"/>
    <n v="1893"/>
  </r>
  <r>
    <n v="2873212765"/>
    <d v="2016-04-15T00:00:00"/>
    <s v="Friday"/>
    <x v="0"/>
    <n v="8482"/>
    <n v="5.6999998090000004"/>
    <n v="5.6999998090000004"/>
    <n v="0"/>
    <n v="0"/>
    <n v="0"/>
    <n v="5.6900000569999998"/>
    <n v="0.01"/>
    <n v="0"/>
    <n v="0"/>
    <n v="448"/>
    <n v="992"/>
    <n v="448"/>
    <n v="1440"/>
    <x v="1"/>
    <n v="2063"/>
  </r>
  <r>
    <n v="2873212765"/>
    <d v="2016-04-16T00:00:00"/>
    <s v="Saturday"/>
    <x v="1"/>
    <n v="9685"/>
    <n v="6.6500000950000002"/>
    <n v="6.6500000950000002"/>
    <n v="0"/>
    <n v="3.1099998950000001"/>
    <n v="0.02"/>
    <n v="3.5099999899999998"/>
    <n v="0.01"/>
    <n v="47"/>
    <n v="1"/>
    <n v="305"/>
    <n v="1087"/>
    <n v="353"/>
    <n v="1440"/>
    <x v="1"/>
    <n v="2148"/>
  </r>
  <r>
    <n v="2873212765"/>
    <d v="2016-04-17T00:00:00"/>
    <s v="Sunday"/>
    <x v="1"/>
    <n v="2524"/>
    <n v="1.7000000479999999"/>
    <n v="1.7000000479999999"/>
    <n v="0"/>
    <n v="0"/>
    <n v="0.34999999399999998"/>
    <n v="1.3400000329999999"/>
    <n v="0"/>
    <n v="0"/>
    <n v="8"/>
    <n v="160"/>
    <n v="1272"/>
    <n v="168"/>
    <n v="1440"/>
    <x v="2"/>
    <n v="1529"/>
  </r>
  <r>
    <n v="2873212765"/>
    <d v="2016-04-18T00:00:00"/>
    <s v="Monday"/>
    <x v="0"/>
    <n v="7762"/>
    <n v="5.2399997709999999"/>
    <n v="5.2399997709999999"/>
    <n v="0"/>
    <n v="7.0000000000000007E-2"/>
    <n v="0.280000001"/>
    <n v="4.8899998660000001"/>
    <n v="0"/>
    <n v="1"/>
    <n v="6"/>
    <n v="311"/>
    <n v="1122"/>
    <n v="318"/>
    <n v="1440"/>
    <x v="1"/>
    <n v="1890"/>
  </r>
  <r>
    <n v="2873212765"/>
    <d v="2016-04-19T00:00:00"/>
    <s v="Tuesday"/>
    <x v="0"/>
    <n v="7948"/>
    <n v="5.3699998860000004"/>
    <n v="5.3699998860000004"/>
    <n v="0"/>
    <n v="0"/>
    <n v="0"/>
    <n v="5.3600001339999999"/>
    <n v="0"/>
    <n v="0"/>
    <n v="0"/>
    <n v="389"/>
    <n v="1051"/>
    <n v="389"/>
    <n v="1440"/>
    <x v="1"/>
    <n v="1956"/>
  </r>
  <r>
    <n v="2873212765"/>
    <d v="2016-04-20T00:00:00"/>
    <s v="Wednesday"/>
    <x v="0"/>
    <n v="9202"/>
    <n v="6.3000001909999996"/>
    <n v="6.3000001909999996"/>
    <n v="0"/>
    <n v="1.5099999900000001"/>
    <n v="0.119999997"/>
    <n v="4.6599998469999999"/>
    <n v="0.01"/>
    <n v="22"/>
    <n v="5"/>
    <n v="378"/>
    <n v="1035"/>
    <n v="405"/>
    <n v="1440"/>
    <x v="1"/>
    <n v="2094"/>
  </r>
  <r>
    <n v="2873212765"/>
    <d v="2016-04-21T00:00:00"/>
    <s v="Thursday"/>
    <x v="0"/>
    <n v="8859"/>
    <n v="5.9800000190000002"/>
    <n v="5.9800000190000002"/>
    <n v="0"/>
    <n v="0.12999999500000001"/>
    <n v="0.37000000500000002"/>
    <n v="5.4699997900000001"/>
    <n v="0.01"/>
    <n v="2"/>
    <n v="10"/>
    <n v="371"/>
    <n v="1057"/>
    <n v="383"/>
    <n v="1440"/>
    <x v="1"/>
    <n v="1970"/>
  </r>
  <r>
    <n v="2873212765"/>
    <d v="2016-04-22T00:00:00"/>
    <s v="Friday"/>
    <x v="0"/>
    <n v="7286"/>
    <n v="4.9000000950000002"/>
    <n v="4.9000000950000002"/>
    <n v="0"/>
    <n v="0.46000000800000002"/>
    <n v="0"/>
    <n v="4.420000076"/>
    <n v="0.02"/>
    <n v="46"/>
    <n v="0"/>
    <n v="366"/>
    <n v="1028"/>
    <n v="412"/>
    <n v="1440"/>
    <x v="3"/>
    <n v="2241"/>
  </r>
  <r>
    <n v="2873212765"/>
    <d v="2016-04-23T00:00:00"/>
    <s v="Saturday"/>
    <x v="1"/>
    <n v="9317"/>
    <n v="6.3499999049999998"/>
    <n v="6.3499999049999998"/>
    <n v="0"/>
    <n v="2.0899999139999998"/>
    <n v="0.23000000400000001"/>
    <n v="4.0199999809999998"/>
    <n v="0.01"/>
    <n v="28"/>
    <n v="5"/>
    <n v="330"/>
    <n v="1077"/>
    <n v="363"/>
    <n v="1440"/>
    <x v="1"/>
    <n v="2021"/>
  </r>
  <r>
    <n v="2873212765"/>
    <d v="2016-04-24T00:00:00"/>
    <s v="Sunday"/>
    <x v="1"/>
    <n v="6873"/>
    <n v="4.6799998279999997"/>
    <n v="4.6799998279999997"/>
    <n v="0"/>
    <n v="3"/>
    <n v="5.9999998999999998E-2"/>
    <n v="1.6200000050000001"/>
    <n v="0"/>
    <n v="46"/>
    <n v="1"/>
    <n v="190"/>
    <n v="1203"/>
    <n v="237"/>
    <n v="1440"/>
    <x v="3"/>
    <n v="1898"/>
  </r>
  <r>
    <n v="2873212765"/>
    <d v="2016-04-25T00:00:00"/>
    <s v="Monday"/>
    <x v="0"/>
    <n v="7373"/>
    <n v="4.9499998090000004"/>
    <n v="4.9499998090000004"/>
    <n v="0"/>
    <n v="0"/>
    <n v="0"/>
    <n v="4.9499998090000004"/>
    <n v="0"/>
    <n v="0"/>
    <n v="0"/>
    <n v="359"/>
    <n v="1081"/>
    <n v="359"/>
    <n v="1440"/>
    <x v="3"/>
    <n v="1907"/>
  </r>
  <r>
    <n v="2873212765"/>
    <d v="2016-04-26T00:00:00"/>
    <s v="Tuesday"/>
    <x v="0"/>
    <n v="8242"/>
    <n v="5.5399999619999996"/>
    <n v="5.5399999619999996"/>
    <n v="0"/>
    <n v="0.119999997"/>
    <n v="0.18000000699999999"/>
    <n v="5.2399997709999999"/>
    <n v="0"/>
    <n v="2"/>
    <n v="5"/>
    <n v="309"/>
    <n v="1124"/>
    <n v="316"/>
    <n v="1440"/>
    <x v="1"/>
    <n v="1882"/>
  </r>
  <r>
    <n v="2873212765"/>
    <d v="2016-04-27T00:00:00"/>
    <s v="Wednesday"/>
    <x v="0"/>
    <n v="3516"/>
    <n v="2.3599998950000001"/>
    <n v="2.3599998950000001"/>
    <n v="0"/>
    <n v="0"/>
    <n v="0"/>
    <n v="2.3599998950000001"/>
    <n v="0"/>
    <n v="46"/>
    <n v="0"/>
    <n v="197"/>
    <n v="1197"/>
    <n v="243"/>
    <n v="1440"/>
    <x v="2"/>
    <n v="1966"/>
  </r>
  <r>
    <n v="2873212765"/>
    <d v="2016-04-28T00:00:00"/>
    <s v="Thursday"/>
    <x v="0"/>
    <n v="7913"/>
    <n v="5.4099998469999999"/>
    <n v="5.4099998469999999"/>
    <n v="0"/>
    <n v="2.1600000860000002"/>
    <n v="0.34000000400000002"/>
    <n v="2.9100000860000002"/>
    <n v="0"/>
    <n v="28"/>
    <n v="7"/>
    <n v="213"/>
    <n v="1192"/>
    <n v="248"/>
    <n v="1440"/>
    <x v="1"/>
    <n v="1835"/>
  </r>
  <r>
    <n v="2873212765"/>
    <d v="2016-04-29T00:00:00"/>
    <s v="Friday"/>
    <x v="0"/>
    <n v="7365"/>
    <n v="4.9499998090000004"/>
    <n v="4.9499998090000004"/>
    <n v="0"/>
    <n v="1.3600000139999999"/>
    <n v="1.4099999670000001"/>
    <n v="2.1800000669999999"/>
    <n v="0"/>
    <n v="20"/>
    <n v="23"/>
    <n v="206"/>
    <n v="1191"/>
    <n v="249"/>
    <n v="1440"/>
    <x v="3"/>
    <n v="1780"/>
  </r>
  <r>
    <n v="2873212765"/>
    <d v="2016-04-30T00:00:00"/>
    <s v="Saturday"/>
    <x v="1"/>
    <n v="8452"/>
    <n v="5.6799998279999997"/>
    <n v="5.6799998279999997"/>
    <n v="0"/>
    <n v="0.33000001299999998"/>
    <n v="1.0800000430000001"/>
    <n v="4.2600002290000001"/>
    <n v="0.01"/>
    <n v="5"/>
    <n v="20"/>
    <n v="248"/>
    <n v="1167"/>
    <n v="273"/>
    <n v="1440"/>
    <x v="1"/>
    <n v="1830"/>
  </r>
  <r>
    <n v="2873212765"/>
    <d v="2016-05-01T00:00:00"/>
    <s v="Sunday"/>
    <x v="1"/>
    <n v="7399"/>
    <n v="4.9699997900000001"/>
    <n v="4.9699997900000001"/>
    <n v="0"/>
    <n v="0.49000000999999999"/>
    <n v="1.039999962"/>
    <n v="3.4400000569999998"/>
    <n v="0"/>
    <n v="7"/>
    <n v="18"/>
    <n v="196"/>
    <n v="1219"/>
    <n v="221"/>
    <n v="1440"/>
    <x v="3"/>
    <n v="1739"/>
  </r>
  <r>
    <n v="2873212765"/>
    <d v="2016-05-02T00:00:00"/>
    <s v="Monday"/>
    <x v="0"/>
    <n v="7525"/>
    <n v="5.0599999430000002"/>
    <n v="5.0599999430000002"/>
    <n v="0"/>
    <n v="0"/>
    <n v="0.209999993"/>
    <n v="4.829999924"/>
    <n v="0.02"/>
    <n v="0"/>
    <n v="7"/>
    <n v="334"/>
    <n v="1099"/>
    <n v="341"/>
    <n v="1440"/>
    <x v="1"/>
    <n v="1878"/>
  </r>
  <r>
    <n v="2873212765"/>
    <d v="2016-05-03T00:00:00"/>
    <s v="Tuesday"/>
    <x v="0"/>
    <n v="7412"/>
    <n v="4.9800000190000002"/>
    <n v="4.9800000190000002"/>
    <n v="0"/>
    <n v="5.9999998999999998E-2"/>
    <n v="0.25"/>
    <n v="4.6599998469999999"/>
    <n v="0.01"/>
    <n v="1"/>
    <n v="6"/>
    <n v="363"/>
    <n v="1070"/>
    <n v="370"/>
    <n v="1440"/>
    <x v="3"/>
    <n v="1906"/>
  </r>
  <r>
    <n v="2873212765"/>
    <d v="2016-05-04T00:00:00"/>
    <s v="Wednesday"/>
    <x v="0"/>
    <n v="8278"/>
    <n v="5.5599999430000002"/>
    <n v="5.5599999430000002"/>
    <n v="0"/>
    <n v="0"/>
    <n v="0"/>
    <n v="5.5599999430000002"/>
    <n v="0"/>
    <n v="0"/>
    <n v="0"/>
    <n v="420"/>
    <n v="1020"/>
    <n v="420"/>
    <n v="1440"/>
    <x v="1"/>
    <n v="2015"/>
  </r>
  <r>
    <n v="2873212765"/>
    <d v="2016-05-05T00:00:00"/>
    <s v="Thursday"/>
    <x v="0"/>
    <n v="8314"/>
    <n v="5.6100001339999999"/>
    <n v="5.6100001339999999"/>
    <n v="0"/>
    <n v="0.77999997099999996"/>
    <n v="0.80000001200000004"/>
    <n v="4.0300002099999999"/>
    <n v="0"/>
    <n v="13"/>
    <n v="23"/>
    <n v="311"/>
    <n v="1093"/>
    <n v="347"/>
    <n v="1440"/>
    <x v="1"/>
    <n v="1971"/>
  </r>
  <r>
    <n v="2873212765"/>
    <d v="2016-05-06T00:00:00"/>
    <s v="Friday"/>
    <x v="0"/>
    <n v="7063"/>
    <n v="4.75"/>
    <n v="4.75"/>
    <n v="0"/>
    <n v="0"/>
    <n v="0.119999997"/>
    <n v="4.6100001339999999"/>
    <n v="0.01"/>
    <n v="0"/>
    <n v="5"/>
    <n v="370"/>
    <n v="1065"/>
    <n v="375"/>
    <n v="1440"/>
    <x v="3"/>
    <n v="1910"/>
  </r>
  <r>
    <n v="2873212765"/>
    <d v="2016-05-07T00:00:00"/>
    <s v="Saturday"/>
    <x v="1"/>
    <n v="4940"/>
    <n v="3.380000114"/>
    <n v="3.380000114"/>
    <n v="0"/>
    <n v="2.2799999710000001"/>
    <n v="0.55000001200000004"/>
    <n v="0.55000001200000004"/>
    <n v="0"/>
    <n v="75"/>
    <n v="11"/>
    <n v="52"/>
    <n v="1302"/>
    <n v="138"/>
    <n v="1440"/>
    <x v="2"/>
    <n v="1897"/>
  </r>
  <r>
    <n v="2873212765"/>
    <d v="2016-05-08T00:00:00"/>
    <s v="Sunday"/>
    <x v="1"/>
    <n v="8168"/>
    <n v="5.5399999619999996"/>
    <n v="5.5399999619999996"/>
    <n v="0"/>
    <n v="2.9000000950000002"/>
    <n v="0"/>
    <n v="2.6400001049999999"/>
    <n v="0"/>
    <n v="46"/>
    <n v="0"/>
    <n v="326"/>
    <n v="1068"/>
    <n v="372"/>
    <n v="1440"/>
    <x v="1"/>
    <n v="2096"/>
  </r>
  <r>
    <n v="2873212765"/>
    <d v="2016-05-09T00:00:00"/>
    <s v="Monday"/>
    <x v="0"/>
    <n v="7726"/>
    <n v="5.1900000569999998"/>
    <n v="5.1900000569999998"/>
    <n v="0"/>
    <n v="0"/>
    <n v="0"/>
    <n v="5.1900000569999998"/>
    <n v="0"/>
    <n v="0"/>
    <n v="0"/>
    <n v="345"/>
    <n v="1095"/>
    <n v="345"/>
    <n v="1440"/>
    <x v="1"/>
    <n v="1906"/>
  </r>
  <r>
    <n v="2873212765"/>
    <d v="2016-05-10T00:00:00"/>
    <s v="Tuesday"/>
    <x v="0"/>
    <n v="8275"/>
    <n v="5.5599999430000002"/>
    <n v="5.5599999430000002"/>
    <n v="0"/>
    <n v="0"/>
    <n v="0"/>
    <n v="5.5500001909999996"/>
    <n v="0.01"/>
    <n v="0"/>
    <n v="0"/>
    <n v="373"/>
    <n v="1067"/>
    <n v="373"/>
    <n v="1440"/>
    <x v="1"/>
    <n v="1962"/>
  </r>
  <r>
    <n v="2873212765"/>
    <d v="2016-05-11T00:00:00"/>
    <s v="Wednesday"/>
    <x v="0"/>
    <n v="6440"/>
    <n v="4.329999924"/>
    <n v="4.329999924"/>
    <n v="0"/>
    <n v="0"/>
    <n v="0"/>
    <n v="4.3200001720000003"/>
    <n v="0.01"/>
    <n v="0"/>
    <n v="0"/>
    <n v="319"/>
    <n v="1121"/>
    <n v="319"/>
    <n v="1440"/>
    <x v="3"/>
    <n v="1826"/>
  </r>
  <r>
    <n v="2873212765"/>
    <d v="2016-05-12T00:00:00"/>
    <s v="Thursday"/>
    <x v="0"/>
    <n v="7566"/>
    <n v="5.1100001339999999"/>
    <n v="5.1100001339999999"/>
    <n v="0"/>
    <n v="0"/>
    <n v="0"/>
    <n v="5.1100001339999999"/>
    <n v="0"/>
    <n v="0"/>
    <n v="0"/>
    <n v="268"/>
    <n v="720"/>
    <n v="268"/>
    <n v="988"/>
    <x v="1"/>
    <n v="1431"/>
  </r>
  <r>
    <n v="2891001357"/>
    <d v="2016-04-02T00:00:00"/>
    <s v="Saturday"/>
    <x v="1"/>
    <n v="4126"/>
    <n v="3.2200000289999999"/>
    <n v="0"/>
    <n v="3.2186880109999998"/>
    <n v="0"/>
    <n v="0"/>
    <n v="3.2200000289999999"/>
    <n v="0"/>
    <n v="0"/>
    <n v="0"/>
    <n v="720"/>
    <n v="720"/>
    <n v="720"/>
    <n v="1440"/>
    <x v="2"/>
    <n v="2881"/>
  </r>
  <r>
    <n v="2891001357"/>
    <d v="2016-04-05T00:00:00"/>
    <s v="Tuesday"/>
    <x v="0"/>
    <n v="2063"/>
    <n v="1.6100000139999999"/>
    <n v="0"/>
    <n v="1.6093440059999999"/>
    <n v="0"/>
    <n v="0"/>
    <n v="1.6100000139999999"/>
    <n v="0"/>
    <n v="0"/>
    <n v="0"/>
    <n v="630"/>
    <n v="99"/>
    <n v="630"/>
    <n v="729"/>
    <x v="2"/>
    <n v="1144"/>
  </r>
  <r>
    <n v="3372868164"/>
    <d v="2016-04-01T00:00:00"/>
    <s v="Friday"/>
    <x v="0"/>
    <n v="5785"/>
    <n v="3.9500000480000002"/>
    <n v="3.9500000480000002"/>
    <n v="0"/>
    <n v="0"/>
    <n v="0"/>
    <n v="3.9100000860000002"/>
    <n v="3.9999999000000001E-2"/>
    <n v="0"/>
    <n v="0"/>
    <n v="311"/>
    <n v="1129"/>
    <n v="311"/>
    <n v="1440"/>
    <x v="3"/>
    <n v="1852"/>
  </r>
  <r>
    <n v="3372868164"/>
    <d v="2016-04-02T00:00:00"/>
    <s v="Saturday"/>
    <x v="1"/>
    <n v="7625"/>
    <n v="5.2300000190000002"/>
    <n v="5.2300000190000002"/>
    <n v="0"/>
    <n v="1.6799999480000001"/>
    <n v="3.9999999000000001E-2"/>
    <n v="3.5"/>
    <n v="0.01"/>
    <n v="24"/>
    <n v="1"/>
    <n v="341"/>
    <n v="1074"/>
    <n v="366"/>
    <n v="1440"/>
    <x v="1"/>
    <n v="2069"/>
  </r>
  <r>
    <n v="3372868164"/>
    <d v="2016-04-03T00:00:00"/>
    <s v="Sunday"/>
    <x v="1"/>
    <n v="4706"/>
    <n v="3.210000038"/>
    <n v="3.210000038"/>
    <n v="0"/>
    <n v="0"/>
    <n v="0"/>
    <n v="3.210000038"/>
    <n v="0"/>
    <n v="0"/>
    <n v="0"/>
    <n v="299"/>
    <n v="1141"/>
    <n v="299"/>
    <n v="1440"/>
    <x v="2"/>
    <n v="1816"/>
  </r>
  <r>
    <n v="3372868164"/>
    <d v="2016-04-04T00:00:00"/>
    <s v="Monday"/>
    <x v="0"/>
    <n v="5861"/>
    <n v="4.0199999809999998"/>
    <n v="4.0199999809999998"/>
    <n v="0"/>
    <n v="1.2999999520000001"/>
    <n v="0.219999999"/>
    <n v="2.4900000100000002"/>
    <n v="0.01"/>
    <n v="20"/>
    <n v="7"/>
    <n v="233"/>
    <n v="1180"/>
    <n v="260"/>
    <n v="1440"/>
    <x v="3"/>
    <n v="1878"/>
  </r>
  <r>
    <n v="3372868164"/>
    <d v="2016-04-05T00:00:00"/>
    <s v="Tuesday"/>
    <x v="0"/>
    <n v="4460"/>
    <n v="3.039999962"/>
    <n v="3.039999962"/>
    <n v="0"/>
    <n v="0"/>
    <n v="0"/>
    <n v="3.0199999809999998"/>
    <n v="2.9999998999999999E-2"/>
    <n v="0"/>
    <n v="0"/>
    <n v="248"/>
    <n v="1192"/>
    <n v="248"/>
    <n v="1440"/>
    <x v="2"/>
    <n v="1787"/>
  </r>
  <r>
    <n v="3372868164"/>
    <d v="2016-04-06T00:00:00"/>
    <s v="Wednesday"/>
    <x v="0"/>
    <n v="6406"/>
    <n v="4.3899998660000001"/>
    <n v="4.3899998660000001"/>
    <n v="0"/>
    <n v="0.77999997099999996"/>
    <n v="9.0000003999999995E-2"/>
    <n v="3.5199999809999998"/>
    <n v="0.01"/>
    <n v="17"/>
    <n v="4"/>
    <n v="325"/>
    <n v="1094"/>
    <n v="346"/>
    <n v="1440"/>
    <x v="3"/>
    <n v="2010"/>
  </r>
  <r>
    <n v="3372868164"/>
    <d v="2016-04-07T00:00:00"/>
    <s v="Thursday"/>
    <x v="0"/>
    <n v="7392"/>
    <n v="5.0999999049999998"/>
    <n v="5.0999999049999998"/>
    <n v="0"/>
    <n v="0.87000000499999997"/>
    <n v="0.15999999600000001"/>
    <n v="4.0500001909999996"/>
    <n v="0.02"/>
    <n v="14"/>
    <n v="9"/>
    <n v="332"/>
    <n v="1085"/>
    <n v="355"/>
    <n v="1440"/>
    <x v="3"/>
    <n v="2038"/>
  </r>
  <r>
    <n v="3372868164"/>
    <d v="2016-04-08T00:00:00"/>
    <s v="Friday"/>
    <x v="0"/>
    <n v="5551"/>
    <n v="3.789999962"/>
    <n v="3.789999962"/>
    <n v="0"/>
    <n v="0"/>
    <n v="0"/>
    <n v="3.7699999809999998"/>
    <n v="0.01"/>
    <n v="0"/>
    <n v="0"/>
    <n v="282"/>
    <n v="1158"/>
    <n v="282"/>
    <n v="1440"/>
    <x v="3"/>
    <n v="1815"/>
  </r>
  <r>
    <n v="3372868164"/>
    <d v="2016-04-09T00:00:00"/>
    <s v="Saturday"/>
    <x v="1"/>
    <n v="8827"/>
    <n v="6.25"/>
    <n v="6.25"/>
    <n v="0"/>
    <n v="1.769999981"/>
    <n v="0.47999998900000002"/>
    <n v="4"/>
    <n v="0.01"/>
    <n v="21"/>
    <n v="10"/>
    <n v="346"/>
    <n v="1063"/>
    <n v="377"/>
    <n v="1440"/>
    <x v="1"/>
    <n v="2062"/>
  </r>
  <r>
    <n v="3372868164"/>
    <d v="2016-04-10T00:00:00"/>
    <s v="Sunday"/>
    <x v="1"/>
    <n v="4662"/>
    <n v="3.1800000669999999"/>
    <n v="3.1800000669999999"/>
    <n v="0"/>
    <n v="1.039999962"/>
    <n v="0.15000000599999999"/>
    <n v="1.9900000099999999"/>
    <n v="0"/>
    <n v="22"/>
    <n v="4"/>
    <n v="152"/>
    <n v="735"/>
    <n v="178"/>
    <n v="913"/>
    <x v="2"/>
    <n v="1276"/>
  </r>
  <r>
    <n v="3372868164"/>
    <d v="2016-04-12T00:00:00"/>
    <s v="Tuesday"/>
    <x v="0"/>
    <n v="4747"/>
    <n v="3.2400000100000002"/>
    <n v="3.2400000100000002"/>
    <n v="0"/>
    <n v="0"/>
    <n v="0"/>
    <n v="3.2300000190000002"/>
    <n v="0.01"/>
    <n v="0"/>
    <n v="0"/>
    <n v="280"/>
    <n v="1160"/>
    <n v="280"/>
    <n v="1440"/>
    <x v="2"/>
    <n v="1788"/>
  </r>
  <r>
    <n v="3372868164"/>
    <d v="2016-04-13T00:00:00"/>
    <s v="Wednesday"/>
    <x v="0"/>
    <n v="9715"/>
    <n v="6.6300001139999996"/>
    <n v="6.6300001139999996"/>
    <n v="0"/>
    <n v="0.99000001000000004"/>
    <n v="0.34000000400000002"/>
    <n v="5.2699999809999998"/>
    <n v="0.02"/>
    <n v="16"/>
    <n v="8"/>
    <n v="371"/>
    <n v="1045"/>
    <n v="395"/>
    <n v="1440"/>
    <x v="1"/>
    <n v="2093"/>
  </r>
  <r>
    <n v="3372868164"/>
    <d v="2016-04-14T00:00:00"/>
    <s v="Thursday"/>
    <x v="0"/>
    <n v="8844"/>
    <n v="6.0300002099999999"/>
    <n v="6.0300002099999999"/>
    <n v="0"/>
    <n v="0.34000000400000002"/>
    <n v="1.0299999710000001"/>
    <n v="4.6500000950000002"/>
    <n v="0.01"/>
    <n v="6"/>
    <n v="25"/>
    <n v="370"/>
    <n v="1039"/>
    <n v="401"/>
    <n v="1440"/>
    <x v="1"/>
    <n v="2065"/>
  </r>
  <r>
    <n v="3372868164"/>
    <d v="2016-04-15T00:00:00"/>
    <s v="Friday"/>
    <x v="0"/>
    <n v="7451"/>
    <n v="5.079999924"/>
    <n v="5.079999924"/>
    <n v="0"/>
    <n v="0"/>
    <n v="0"/>
    <n v="5.0599999430000002"/>
    <n v="0.02"/>
    <n v="0"/>
    <n v="0"/>
    <n v="335"/>
    <n v="1105"/>
    <n v="335"/>
    <n v="1440"/>
    <x v="3"/>
    <n v="1908"/>
  </r>
  <r>
    <n v="3372868164"/>
    <d v="2016-04-16T00:00:00"/>
    <s v="Saturday"/>
    <x v="1"/>
    <n v="6905"/>
    <n v="4.7300000190000002"/>
    <n v="4.7300000190000002"/>
    <n v="0"/>
    <n v="0"/>
    <n v="0"/>
    <n v="4.6999998090000004"/>
    <n v="2.9999998999999999E-2"/>
    <n v="0"/>
    <n v="0"/>
    <n v="356"/>
    <n v="1084"/>
    <n v="356"/>
    <n v="1440"/>
    <x v="3"/>
    <n v="1908"/>
  </r>
  <r>
    <n v="3372868164"/>
    <d v="2016-04-17T00:00:00"/>
    <s v="Sunday"/>
    <x v="1"/>
    <n v="8199"/>
    <n v="5.8800001139999996"/>
    <n v="5.8800001139999996"/>
    <n v="0"/>
    <n v="1.4099999670000001"/>
    <n v="0.10000000100000001"/>
    <n v="4.3600001339999999"/>
    <n v="0.01"/>
    <n v="11"/>
    <n v="2"/>
    <n v="322"/>
    <n v="1105"/>
    <n v="335"/>
    <n v="1440"/>
    <x v="1"/>
    <n v="1964"/>
  </r>
  <r>
    <n v="3372868164"/>
    <d v="2016-04-18T00:00:00"/>
    <s v="Monday"/>
    <x v="0"/>
    <n v="6798"/>
    <n v="4.6399998660000001"/>
    <n v="4.6399998660000001"/>
    <n v="0"/>
    <n v="1.0800000430000001"/>
    <n v="0.20000000300000001"/>
    <n v="3.3499999049999998"/>
    <n v="0"/>
    <n v="20"/>
    <n v="7"/>
    <n v="343"/>
    <n v="1070"/>
    <n v="370"/>
    <n v="1440"/>
    <x v="3"/>
    <n v="2014"/>
  </r>
  <r>
    <n v="3372868164"/>
    <d v="2016-04-19T00:00:00"/>
    <s v="Tuesday"/>
    <x v="0"/>
    <n v="7711"/>
    <n v="5.2600002290000001"/>
    <n v="5.2600002290000001"/>
    <n v="0"/>
    <n v="0"/>
    <n v="0"/>
    <n v="5.2399997709999999"/>
    <n v="0.02"/>
    <n v="0"/>
    <n v="0"/>
    <n v="376"/>
    <n v="1064"/>
    <n v="376"/>
    <n v="1440"/>
    <x v="1"/>
    <n v="1985"/>
  </r>
  <r>
    <n v="3372868164"/>
    <d v="2016-04-20T00:00:00"/>
    <s v="Wednesday"/>
    <x v="0"/>
    <n v="4880"/>
    <n v="3.329999924"/>
    <n v="3.329999924"/>
    <n v="0"/>
    <n v="0.83999997400000004"/>
    <n v="9.0000003999999995E-2"/>
    <n v="2.380000114"/>
    <n v="0.02"/>
    <n v="15"/>
    <n v="3"/>
    <n v="274"/>
    <n v="1148"/>
    <n v="292"/>
    <n v="1440"/>
    <x v="2"/>
    <n v="1867"/>
  </r>
  <r>
    <n v="3372868164"/>
    <d v="2016-04-21T00:00:00"/>
    <s v="Thursday"/>
    <x v="0"/>
    <n v="8857"/>
    <n v="6.0700001720000003"/>
    <n v="6.0700001720000003"/>
    <n v="0"/>
    <n v="1.1499999759999999"/>
    <n v="0.25999999000000001"/>
    <n v="4.6399998660000001"/>
    <n v="0.01"/>
    <n v="18"/>
    <n v="9"/>
    <n v="376"/>
    <n v="1037"/>
    <n v="403"/>
    <n v="1440"/>
    <x v="1"/>
    <n v="2124"/>
  </r>
  <r>
    <n v="3372868164"/>
    <d v="2016-04-22T00:00:00"/>
    <s v="Friday"/>
    <x v="0"/>
    <n v="3843"/>
    <n v="2.619999886"/>
    <n v="2.619999886"/>
    <n v="0"/>
    <n v="0"/>
    <n v="0"/>
    <n v="2.6099998950000001"/>
    <n v="0.01"/>
    <n v="0"/>
    <n v="0"/>
    <n v="206"/>
    <n v="1234"/>
    <n v="206"/>
    <n v="1440"/>
    <x v="2"/>
    <n v="1669"/>
  </r>
  <r>
    <n v="3372868164"/>
    <d v="2016-04-23T00:00:00"/>
    <s v="Saturday"/>
    <x v="1"/>
    <n v="7396"/>
    <n v="5.0700001720000003"/>
    <n v="5.0700001720000003"/>
    <n v="0"/>
    <n v="1.3999999759999999"/>
    <n v="7.9999998000000003E-2"/>
    <n v="3.579999924"/>
    <n v="0"/>
    <n v="20"/>
    <n v="2"/>
    <n v="303"/>
    <n v="1115"/>
    <n v="325"/>
    <n v="1440"/>
    <x v="3"/>
    <n v="1995"/>
  </r>
  <r>
    <n v="3372868164"/>
    <d v="2016-04-24T00:00:00"/>
    <s v="Sunday"/>
    <x v="1"/>
    <n v="6731"/>
    <n v="4.5900001530000001"/>
    <n v="4.5900001530000001"/>
    <n v="0"/>
    <n v="0.88999998599999997"/>
    <n v="0.189999998"/>
    <n v="3.4900000100000002"/>
    <n v="0.02"/>
    <n v="14"/>
    <n v="7"/>
    <n v="292"/>
    <n v="1127"/>
    <n v="313"/>
    <n v="1440"/>
    <x v="3"/>
    <n v="1921"/>
  </r>
  <r>
    <n v="3372868164"/>
    <d v="2016-04-25T00:00:00"/>
    <s v="Monday"/>
    <x v="0"/>
    <n v="5995"/>
    <n v="4.0900001530000001"/>
    <n v="4.0900001530000001"/>
    <n v="0"/>
    <n v="0"/>
    <n v="0"/>
    <n v="4.0900001530000001"/>
    <n v="0"/>
    <n v="0"/>
    <n v="0"/>
    <n v="416"/>
    <n v="1024"/>
    <n v="416"/>
    <n v="1440"/>
    <x v="3"/>
    <n v="2010"/>
  </r>
  <r>
    <n v="3372868164"/>
    <d v="2016-04-26T00:00:00"/>
    <s v="Tuesday"/>
    <x v="0"/>
    <n v="8283"/>
    <n v="5.7899999619999996"/>
    <n v="5.7899999619999996"/>
    <n v="0"/>
    <n v="1.8500000240000001"/>
    <n v="5.0000001000000002E-2"/>
    <n v="3.869999886"/>
    <n v="0.01"/>
    <n v="22"/>
    <n v="2"/>
    <n v="333"/>
    <n v="1083"/>
    <n v="357"/>
    <n v="1440"/>
    <x v="1"/>
    <n v="2057"/>
  </r>
  <r>
    <n v="3372868164"/>
    <d v="2016-04-27T00:00:00"/>
    <s v="Wednesday"/>
    <x v="0"/>
    <n v="7904"/>
    <n v="5.420000076"/>
    <n v="5.420000076"/>
    <n v="0"/>
    <n v="1.5800000430000001"/>
    <n v="0.62999999500000003"/>
    <n v="3.1900000569999998"/>
    <n v="0.01"/>
    <n v="24"/>
    <n v="13"/>
    <n v="346"/>
    <n v="1057"/>
    <n v="383"/>
    <n v="1440"/>
    <x v="1"/>
    <n v="2095"/>
  </r>
  <r>
    <n v="3372868164"/>
    <d v="2016-04-28T00:00:00"/>
    <s v="Thursday"/>
    <x v="0"/>
    <n v="5512"/>
    <n v="3.7599999899999998"/>
    <n v="3.7599999899999998"/>
    <n v="0"/>
    <n v="0"/>
    <n v="0"/>
    <n v="3.7599999899999998"/>
    <n v="0"/>
    <n v="0"/>
    <n v="0"/>
    <n v="385"/>
    <n v="1055"/>
    <n v="385"/>
    <n v="1440"/>
    <x v="3"/>
    <n v="1972"/>
  </r>
  <r>
    <n v="3372868164"/>
    <d v="2016-04-29T00:00:00"/>
    <s v="Friday"/>
    <x v="0"/>
    <n v="9135"/>
    <n v="6.2300000190000002"/>
    <n v="6.2300000190000002"/>
    <n v="0"/>
    <n v="0"/>
    <n v="0"/>
    <n v="6.2199997900000001"/>
    <n v="0.01"/>
    <n v="0"/>
    <n v="0"/>
    <n v="402"/>
    <n v="1038"/>
    <n v="402"/>
    <n v="1440"/>
    <x v="1"/>
    <n v="2044"/>
  </r>
  <r>
    <n v="3372868164"/>
    <d v="2016-04-30T00:00:00"/>
    <s v="Saturday"/>
    <x v="1"/>
    <n v="5250"/>
    <n v="3.579999924"/>
    <n v="3.579999924"/>
    <n v="0"/>
    <n v="1.059999943"/>
    <n v="9.0000003999999995E-2"/>
    <n v="2.420000076"/>
    <n v="0.01"/>
    <n v="17"/>
    <n v="4"/>
    <n v="300"/>
    <n v="1119"/>
    <n v="321"/>
    <n v="1440"/>
    <x v="3"/>
    <n v="1946"/>
  </r>
  <r>
    <n v="3372868164"/>
    <d v="2016-05-01T00:00:00"/>
    <s v="Sunday"/>
    <x v="1"/>
    <n v="3077"/>
    <n v="2.0999999049999998"/>
    <n v="2.0999999049999998"/>
    <n v="0"/>
    <n v="0"/>
    <n v="0"/>
    <n v="2.0899999139999998"/>
    <n v="0"/>
    <n v="0"/>
    <n v="0"/>
    <n v="172"/>
    <n v="842"/>
    <n v="172"/>
    <n v="1014"/>
    <x v="2"/>
    <n v="1237"/>
  </r>
  <r>
    <n v="3977333714"/>
    <d v="2016-04-01T00:00:00"/>
    <s v="Friday"/>
    <x v="0"/>
    <n v="4499"/>
    <n v="3.0099999899999998"/>
    <n v="3.0099999899999998"/>
    <n v="0"/>
    <n v="0"/>
    <n v="0"/>
    <n v="3.0099999899999998"/>
    <n v="0"/>
    <n v="0"/>
    <n v="0"/>
    <n v="168"/>
    <n v="842"/>
    <n v="168"/>
    <n v="1010"/>
    <x v="2"/>
    <n v="1288"/>
  </r>
  <r>
    <n v="3977333714"/>
    <d v="2016-04-02T00:00:00"/>
    <s v="Saturday"/>
    <x v="1"/>
    <n v="7618"/>
    <n v="5.0999999049999998"/>
    <n v="5.0999999049999998"/>
    <n v="0"/>
    <n v="0"/>
    <n v="0.18000000699999999"/>
    <n v="4.9099998469999999"/>
    <n v="0"/>
    <n v="0"/>
    <n v="6"/>
    <n v="302"/>
    <n v="842"/>
    <n v="308"/>
    <n v="1150"/>
    <x v="1"/>
    <n v="1490"/>
  </r>
  <r>
    <n v="3977333714"/>
    <d v="2016-04-03T00:00:00"/>
    <s v="Sunday"/>
    <x v="1"/>
    <n v="11508"/>
    <n v="7.6999998090000004"/>
    <n v="7.6999998090000004"/>
    <n v="0"/>
    <n v="2.170000076"/>
    <n v="0.83999997400000004"/>
    <n v="4.6900000569999998"/>
    <n v="0"/>
    <n v="29"/>
    <n v="22"/>
    <n v="282"/>
    <n v="748"/>
    <n v="333"/>
    <n v="1081"/>
    <x v="0"/>
    <n v="1630"/>
  </r>
  <r>
    <n v="3977333714"/>
    <d v="2016-04-04T00:00:00"/>
    <s v="Monday"/>
    <x v="0"/>
    <n v="11943"/>
    <n v="7.9899997709999999"/>
    <n v="7.9899997709999999"/>
    <n v="0"/>
    <n v="1.0299999710000001"/>
    <n v="2.0099999899999998"/>
    <n v="4.9499998090000004"/>
    <n v="0"/>
    <n v="16"/>
    <n v="43"/>
    <n v="297"/>
    <n v="710"/>
    <n v="356"/>
    <n v="1066"/>
    <x v="0"/>
    <n v="1648"/>
  </r>
  <r>
    <n v="3977333714"/>
    <d v="2016-04-05T00:00:00"/>
    <s v="Tuesday"/>
    <x v="0"/>
    <n v="12303"/>
    <n v="8.2299995419999998"/>
    <n v="8.2299995419999998"/>
    <n v="0"/>
    <n v="1.710000038"/>
    <n v="1.3500000240000001"/>
    <n v="5.170000076"/>
    <n v="0"/>
    <n v="26"/>
    <n v="32"/>
    <n v="291"/>
    <n v="605"/>
    <n v="349"/>
    <n v="954"/>
    <x v="0"/>
    <n v="1649"/>
  </r>
  <r>
    <n v="3977333714"/>
    <d v="2016-04-06T00:00:00"/>
    <s v="Wednesday"/>
    <x v="0"/>
    <n v="15425"/>
    <n v="10.31999969"/>
    <n v="10.31999969"/>
    <n v="0"/>
    <n v="1.6200000050000001"/>
    <n v="1.8200000519999999"/>
    <n v="6.8699998860000004"/>
    <n v="0"/>
    <n v="24"/>
    <n v="45"/>
    <n v="331"/>
    <n v="614"/>
    <n v="400"/>
    <n v="1014"/>
    <x v="0"/>
    <n v="1783"/>
  </r>
  <r>
    <n v="3977333714"/>
    <d v="2016-04-07T00:00:00"/>
    <s v="Thursday"/>
    <x v="0"/>
    <n v="8422"/>
    <n v="5.6300001139999996"/>
    <n v="5.6300001139999996"/>
    <n v="0"/>
    <n v="0"/>
    <n v="3.5999999049999998"/>
    <n v="2.039999962"/>
    <n v="0"/>
    <n v="0"/>
    <n v="81"/>
    <n v="139"/>
    <n v="815"/>
    <n v="220"/>
    <n v="1035"/>
    <x v="1"/>
    <n v="1431"/>
  </r>
  <r>
    <n v="3977333714"/>
    <d v="2016-04-08T00:00:00"/>
    <s v="Friday"/>
    <x v="0"/>
    <n v="10226"/>
    <n v="6.8400001530000001"/>
    <n v="6.8400001530000001"/>
    <n v="0"/>
    <n v="0"/>
    <n v="4.4400000569999998"/>
    <n v="2.4000000950000002"/>
    <n v="0"/>
    <n v="0"/>
    <n v="101"/>
    <n v="174"/>
    <n v="685"/>
    <n v="275"/>
    <n v="960"/>
    <x v="0"/>
    <n v="1524"/>
  </r>
  <r>
    <n v="3977333714"/>
    <d v="2016-04-09T00:00:00"/>
    <s v="Saturday"/>
    <x v="1"/>
    <n v="14583"/>
    <n v="9.7600002289999992"/>
    <n v="9.7600002289999992"/>
    <n v="0"/>
    <n v="2.4800000190000002"/>
    <n v="1.7400000099999999"/>
    <n v="5.5300002099999999"/>
    <n v="0"/>
    <n v="35"/>
    <n v="36"/>
    <n v="254"/>
    <n v="697"/>
    <n v="325"/>
    <n v="1022"/>
    <x v="0"/>
    <n v="1697"/>
  </r>
  <r>
    <n v="3977333714"/>
    <d v="2016-04-10T00:00:00"/>
    <s v="Sunday"/>
    <x v="1"/>
    <n v="3573"/>
    <n v="2.3900001049999999"/>
    <n v="2.3900001049999999"/>
    <n v="0"/>
    <n v="0.939999998"/>
    <n v="0.40999999599999998"/>
    <n v="0.97000002900000004"/>
    <n v="0"/>
    <n v="15"/>
    <n v="8"/>
    <n v="99"/>
    <n v="866"/>
    <n v="122"/>
    <n v="988"/>
    <x v="2"/>
    <n v="1232"/>
  </r>
  <r>
    <n v="3977333714"/>
    <d v="2016-04-11T00:00:00"/>
    <s v="Monday"/>
    <x v="0"/>
    <n v="3108"/>
    <n v="2.1400001049999999"/>
    <n v="2.1400001049999999"/>
    <n v="0"/>
    <n v="7.0000000000000007E-2"/>
    <n v="3.9999999000000001E-2"/>
    <n v="1.960000038"/>
    <n v="0"/>
    <n v="1"/>
    <n v="1"/>
    <n v="129"/>
    <n v="894"/>
    <n v="131"/>
    <n v="1025"/>
    <x v="2"/>
    <n v="1223"/>
  </r>
  <r>
    <n v="3977333714"/>
    <d v="2016-04-13T00:00:00"/>
    <s v="Wednesday"/>
    <x v="0"/>
    <n v="10035"/>
    <n v="6.7100000380000004"/>
    <n v="6.7100000380000004"/>
    <n v="0"/>
    <n v="2.0299999710000001"/>
    <n v="2.130000114"/>
    <n v="2.5499999519999998"/>
    <n v="0"/>
    <n v="31"/>
    <n v="46"/>
    <n v="153"/>
    <n v="754"/>
    <n v="230"/>
    <n v="984"/>
    <x v="0"/>
    <n v="1495"/>
  </r>
  <r>
    <n v="3977333714"/>
    <d v="2016-04-14T00:00:00"/>
    <s v="Thursday"/>
    <x v="0"/>
    <n v="7641"/>
    <n v="5.1100001339999999"/>
    <n v="5.1100001339999999"/>
    <n v="0"/>
    <n v="0.31999999299999998"/>
    <n v="0.97000002900000004"/>
    <n v="3.8199999330000001"/>
    <n v="0"/>
    <n v="5"/>
    <n v="23"/>
    <n v="214"/>
    <n v="801"/>
    <n v="242"/>
    <n v="1043"/>
    <x v="1"/>
    <n v="1433"/>
  </r>
  <r>
    <n v="3977333714"/>
    <d v="2016-04-15T00:00:00"/>
    <s v="Friday"/>
    <x v="0"/>
    <n v="9010"/>
    <n v="6.0599999430000002"/>
    <n v="6.0599999430000002"/>
    <n v="0"/>
    <n v="1.0499999520000001"/>
    <n v="1.75"/>
    <n v="3.2599999899999998"/>
    <n v="0"/>
    <n v="15"/>
    <n v="42"/>
    <n v="183"/>
    <n v="644"/>
    <n v="240"/>
    <n v="884"/>
    <x v="1"/>
    <n v="1468"/>
  </r>
  <r>
    <n v="3977333714"/>
    <d v="2016-04-16T00:00:00"/>
    <s v="Saturday"/>
    <x v="1"/>
    <n v="13459"/>
    <n v="9"/>
    <n v="9"/>
    <n v="0"/>
    <n v="2.0299999710000001"/>
    <n v="4"/>
    <n v="2.9700000289999999"/>
    <n v="0"/>
    <n v="31"/>
    <n v="83"/>
    <n v="153"/>
    <n v="663"/>
    <n v="267"/>
    <n v="930"/>
    <x v="0"/>
    <n v="1625"/>
  </r>
  <r>
    <n v="3977333714"/>
    <d v="2016-04-17T00:00:00"/>
    <s v="Sunday"/>
    <x v="1"/>
    <n v="10415"/>
    <n v="6.9699997900000001"/>
    <n v="6.9699997900000001"/>
    <n v="0"/>
    <n v="0.69999998799999996"/>
    <n v="2.3499999049999998"/>
    <n v="3.920000076"/>
    <n v="0"/>
    <n v="11"/>
    <n v="58"/>
    <n v="205"/>
    <n v="600"/>
    <n v="274"/>
    <n v="874"/>
    <x v="0"/>
    <n v="1529"/>
  </r>
  <r>
    <n v="3977333714"/>
    <d v="2016-04-18T00:00:00"/>
    <s v="Monday"/>
    <x v="0"/>
    <n v="11663"/>
    <n v="7.8000001909999996"/>
    <n v="7.8000001909999996"/>
    <n v="0"/>
    <n v="0.25"/>
    <n v="3.7300000190000002"/>
    <n v="3.8199999330000001"/>
    <n v="0"/>
    <n v="4"/>
    <n v="95"/>
    <n v="214"/>
    <n v="605"/>
    <n v="313"/>
    <n v="918"/>
    <x v="0"/>
    <n v="1584"/>
  </r>
  <r>
    <n v="3977333714"/>
    <d v="2016-04-19T00:00:00"/>
    <s v="Tuesday"/>
    <x v="0"/>
    <n v="12414"/>
    <n v="8.7799997330000004"/>
    <n v="8.7799997330000004"/>
    <n v="0"/>
    <n v="2.2400000100000002"/>
    <n v="2.4500000480000002"/>
    <n v="3.960000038"/>
    <n v="0"/>
    <n v="19"/>
    <n v="67"/>
    <n v="221"/>
    <n v="738"/>
    <n v="307"/>
    <n v="1045"/>
    <x v="0"/>
    <n v="1638"/>
  </r>
  <r>
    <n v="3977333714"/>
    <d v="2016-04-20T00:00:00"/>
    <s v="Wednesday"/>
    <x v="0"/>
    <n v="11658"/>
    <n v="7.829999924"/>
    <n v="7.829999924"/>
    <n v="0"/>
    <n v="0.20000000300000001"/>
    <n v="4.3499999049999998"/>
    <n v="3.2799999710000001"/>
    <n v="0"/>
    <n v="2"/>
    <n v="98"/>
    <n v="164"/>
    <n v="845"/>
    <n v="264"/>
    <n v="1109"/>
    <x v="0"/>
    <n v="1554"/>
  </r>
  <r>
    <n v="3977333714"/>
    <d v="2016-04-21T00:00:00"/>
    <s v="Thursday"/>
    <x v="0"/>
    <n v="6093"/>
    <n v="4.079999924"/>
    <n v="4.079999924"/>
    <n v="0"/>
    <n v="0"/>
    <n v="0"/>
    <n v="4.0599999430000002"/>
    <n v="0"/>
    <n v="0"/>
    <n v="0"/>
    <n v="242"/>
    <n v="712"/>
    <n v="242"/>
    <n v="954"/>
    <x v="3"/>
    <n v="1397"/>
  </r>
  <r>
    <n v="3977333714"/>
    <d v="2016-04-22T00:00:00"/>
    <s v="Friday"/>
    <x v="0"/>
    <n v="8911"/>
    <n v="5.9600000380000004"/>
    <n v="5.9600000380000004"/>
    <n v="0"/>
    <n v="2.329999924"/>
    <n v="0.579999983"/>
    <n v="3.0599999430000002"/>
    <n v="0"/>
    <n v="33"/>
    <n v="12"/>
    <n v="188"/>
    <n v="731"/>
    <n v="233"/>
    <n v="964"/>
    <x v="1"/>
    <n v="1481"/>
  </r>
  <r>
    <n v="3977333714"/>
    <d v="2016-04-23T00:00:00"/>
    <s v="Saturday"/>
    <x v="1"/>
    <n v="12058"/>
    <n v="8.0699996949999999"/>
    <n v="8.0699996949999999"/>
    <n v="0"/>
    <n v="0"/>
    <n v="4.2199997900000001"/>
    <n v="3.8499999049999998"/>
    <n v="0"/>
    <n v="0"/>
    <n v="92"/>
    <n v="252"/>
    <n v="724"/>
    <n v="344"/>
    <n v="1068"/>
    <x v="0"/>
    <n v="1638"/>
  </r>
  <r>
    <n v="3977333714"/>
    <d v="2016-04-24T00:00:00"/>
    <s v="Sunday"/>
    <x v="1"/>
    <n v="14112"/>
    <n v="10"/>
    <n v="10"/>
    <n v="0"/>
    <n v="3.2699999809999998"/>
    <n v="4.5599999430000002"/>
    <n v="2.170000076"/>
    <n v="0"/>
    <n v="30"/>
    <n v="95"/>
    <n v="129"/>
    <n v="660"/>
    <n v="254"/>
    <n v="914"/>
    <x v="0"/>
    <n v="1655"/>
  </r>
  <r>
    <n v="3977333714"/>
    <d v="2016-04-25T00:00:00"/>
    <s v="Monday"/>
    <x v="0"/>
    <n v="11177"/>
    <n v="8.4799995419999998"/>
    <n v="8.4799995419999998"/>
    <n v="0"/>
    <n v="5.6199998860000004"/>
    <n v="0.43000000700000002"/>
    <n v="2.4100000860000002"/>
    <n v="0"/>
    <n v="50"/>
    <n v="9"/>
    <n v="133"/>
    <n v="781"/>
    <n v="192"/>
    <n v="973"/>
    <x v="0"/>
    <n v="1570"/>
  </r>
  <r>
    <n v="3977333714"/>
    <d v="2016-04-26T00:00:00"/>
    <s v="Tuesday"/>
    <x v="0"/>
    <n v="11388"/>
    <n v="7.6199998860000004"/>
    <n v="7.6199998860000004"/>
    <n v="0"/>
    <n v="0.44999998800000002"/>
    <n v="4.2199997900000001"/>
    <n v="2.9500000480000002"/>
    <n v="0"/>
    <n v="7"/>
    <n v="95"/>
    <n v="170"/>
    <n v="797"/>
    <n v="272"/>
    <n v="1069"/>
    <x v="0"/>
    <n v="1551"/>
  </r>
  <r>
    <n v="3977333714"/>
    <d v="2016-04-27T00:00:00"/>
    <s v="Wednesday"/>
    <x v="0"/>
    <n v="7193"/>
    <n v="5.0399999619999996"/>
    <n v="5.0399999619999996"/>
    <n v="0"/>
    <n v="0"/>
    <n v="0.41999998700000002"/>
    <n v="4.6199998860000004"/>
    <n v="0"/>
    <n v="0"/>
    <n v="10"/>
    <n v="176"/>
    <n v="714"/>
    <n v="186"/>
    <n v="900"/>
    <x v="3"/>
    <n v="1377"/>
  </r>
  <r>
    <n v="3977333714"/>
    <d v="2016-04-28T00:00:00"/>
    <s v="Thursday"/>
    <x v="0"/>
    <n v="7114"/>
    <n v="4.8800001139999996"/>
    <n v="4.8800001139999996"/>
    <n v="0"/>
    <n v="1.3700000050000001"/>
    <n v="0.28999999199999998"/>
    <n v="3.2200000289999999"/>
    <n v="0"/>
    <n v="15"/>
    <n v="8"/>
    <n v="190"/>
    <n v="804"/>
    <n v="213"/>
    <n v="1017"/>
    <x v="3"/>
    <n v="1407"/>
  </r>
  <r>
    <n v="3977333714"/>
    <d v="2016-04-29T00:00:00"/>
    <s v="Friday"/>
    <x v="0"/>
    <n v="10645"/>
    <n v="7.75"/>
    <n v="7.75"/>
    <n v="0"/>
    <n v="3.7400000100000002"/>
    <n v="1.2999999520000001"/>
    <n v="2.710000038"/>
    <n v="0"/>
    <n v="36"/>
    <n v="32"/>
    <n v="150"/>
    <n v="744"/>
    <n v="218"/>
    <n v="962"/>
    <x v="0"/>
    <n v="1545"/>
  </r>
  <r>
    <n v="3977333714"/>
    <d v="2016-04-30T00:00:00"/>
    <s v="Saturday"/>
    <x v="1"/>
    <n v="13238"/>
    <n v="9.1999998089999995"/>
    <n v="9.1999998089999995"/>
    <n v="0"/>
    <n v="3.6900000569999998"/>
    <n v="2.0999999049999998"/>
    <n v="3.4100000860000002"/>
    <n v="0"/>
    <n v="43"/>
    <n v="52"/>
    <n v="194"/>
    <n v="687"/>
    <n v="289"/>
    <n v="976"/>
    <x v="0"/>
    <n v="1650"/>
  </r>
  <r>
    <n v="3977333714"/>
    <d v="2016-05-01T00:00:00"/>
    <s v="Sunday"/>
    <x v="1"/>
    <n v="10414"/>
    <n v="7.0700001720000003"/>
    <n v="7.0700001720000003"/>
    <n v="0"/>
    <n v="2.670000076"/>
    <n v="1.980000019"/>
    <n v="2.4100000860000002"/>
    <n v="0"/>
    <n v="41"/>
    <n v="40"/>
    <n v="124"/>
    <n v="691"/>
    <n v="205"/>
    <n v="896"/>
    <x v="0"/>
    <n v="1501"/>
  </r>
  <r>
    <n v="3977333714"/>
    <d v="2016-05-02T00:00:00"/>
    <s v="Monday"/>
    <x v="0"/>
    <n v="16520"/>
    <n v="11.05000019"/>
    <n v="11.05000019"/>
    <n v="0"/>
    <n v="1.539999962"/>
    <n v="6.4800000190000002"/>
    <n v="3.0199999809999998"/>
    <n v="0"/>
    <n v="24"/>
    <n v="143"/>
    <n v="176"/>
    <n v="713"/>
    <n v="343"/>
    <n v="1056"/>
    <x v="0"/>
    <n v="1760"/>
  </r>
  <r>
    <n v="3977333714"/>
    <d v="2016-05-03T00:00:00"/>
    <s v="Tuesday"/>
    <x v="0"/>
    <n v="14335"/>
    <n v="9.5900001530000001"/>
    <n v="9.5900001530000001"/>
    <n v="0"/>
    <n v="3.3199999330000001"/>
    <n v="1.7400000099999999"/>
    <n v="4.5300002099999999"/>
    <n v="0"/>
    <n v="47"/>
    <n v="41"/>
    <n v="258"/>
    <n v="594"/>
    <n v="346"/>
    <n v="940"/>
    <x v="0"/>
    <n v="1710"/>
  </r>
  <r>
    <n v="3977333714"/>
    <d v="2016-05-04T00:00:00"/>
    <s v="Wednesday"/>
    <x v="0"/>
    <n v="13559"/>
    <n v="9.4399995800000003"/>
    <n v="9.4399995800000003"/>
    <n v="0"/>
    <n v="1.809999943"/>
    <n v="4.579999924"/>
    <n v="2.8900001049999999"/>
    <n v="0"/>
    <n v="14"/>
    <n v="96"/>
    <n v="142"/>
    <n v="852"/>
    <n v="252"/>
    <n v="1104"/>
    <x v="0"/>
    <n v="1628"/>
  </r>
  <r>
    <n v="3977333714"/>
    <d v="2016-05-05T00:00:00"/>
    <s v="Thursday"/>
    <x v="0"/>
    <n v="12312"/>
    <n v="8.5799999239999991"/>
    <n v="8.5799999239999991"/>
    <n v="0"/>
    <n v="1.7599999900000001"/>
    <n v="4.1100001339999999"/>
    <n v="2.710000038"/>
    <n v="0"/>
    <n v="14"/>
    <n v="88"/>
    <n v="178"/>
    <n v="680"/>
    <n v="280"/>
    <n v="960"/>
    <x v="0"/>
    <n v="1618"/>
  </r>
  <r>
    <n v="3977333714"/>
    <d v="2016-05-06T00:00:00"/>
    <s v="Friday"/>
    <x v="0"/>
    <n v="11677"/>
    <n v="8.2799997330000004"/>
    <n v="8.2799997330000004"/>
    <n v="0"/>
    <n v="3.1099998950000001"/>
    <n v="2.5099999899999998"/>
    <n v="2.670000076"/>
    <n v="0"/>
    <n v="29"/>
    <n v="55"/>
    <n v="168"/>
    <n v="676"/>
    <n v="252"/>
    <n v="928"/>
    <x v="0"/>
    <n v="1590"/>
  </r>
  <r>
    <n v="3977333714"/>
    <d v="2016-05-07T00:00:00"/>
    <s v="Saturday"/>
    <x v="1"/>
    <n v="11550"/>
    <n v="7.7300000190000002"/>
    <n v="7.7300000190000002"/>
    <n v="0"/>
    <n v="0"/>
    <n v="4.1300001139999996"/>
    <n v="3.5899999139999998"/>
    <n v="0"/>
    <n v="0"/>
    <n v="86"/>
    <n v="208"/>
    <n v="703"/>
    <n v="294"/>
    <n v="997"/>
    <x v="0"/>
    <n v="1574"/>
  </r>
  <r>
    <n v="3977333714"/>
    <d v="2016-05-08T00:00:00"/>
    <s v="Sunday"/>
    <x v="1"/>
    <n v="13585"/>
    <n v="9.0900001530000001"/>
    <n v="9.0900001530000001"/>
    <n v="0"/>
    <n v="0.68000000699999996"/>
    <n v="5.2399997709999999"/>
    <n v="3.170000076"/>
    <n v="0"/>
    <n v="9"/>
    <n v="116"/>
    <n v="171"/>
    <n v="688"/>
    <n v="296"/>
    <n v="984"/>
    <x v="0"/>
    <n v="1633"/>
  </r>
  <r>
    <n v="3977333714"/>
    <d v="2016-05-09T00:00:00"/>
    <s v="Monday"/>
    <x v="0"/>
    <n v="14687"/>
    <n v="10.079999920000001"/>
    <n v="10.079999920000001"/>
    <n v="0"/>
    <n v="0.769999981"/>
    <n v="5.5999999049999998"/>
    <n v="3.5499999519999998"/>
    <n v="0"/>
    <n v="8"/>
    <n v="122"/>
    <n v="151"/>
    <n v="1159"/>
    <n v="281"/>
    <n v="1440"/>
    <x v="0"/>
    <n v="1667"/>
  </r>
  <r>
    <n v="3977333714"/>
    <d v="2016-05-10T00:00:00"/>
    <s v="Tuesday"/>
    <x v="0"/>
    <n v="13072"/>
    <n v="8.7799997330000004"/>
    <n v="8.7799997330000004"/>
    <n v="0"/>
    <n v="7.0000000000000007E-2"/>
    <n v="5.4000000950000002"/>
    <n v="3.3099999430000002"/>
    <n v="0"/>
    <n v="1"/>
    <n v="115"/>
    <n v="196"/>
    <n v="676"/>
    <n v="312"/>
    <n v="988"/>
    <x v="0"/>
    <n v="1630"/>
  </r>
  <r>
    <n v="4020332650"/>
    <d v="2016-03-12T00:00:00"/>
    <s v="Saturday"/>
    <x v="1"/>
    <n v="5543"/>
    <n v="3.9700000289999999"/>
    <n v="3.9700000289999999"/>
    <n v="0"/>
    <n v="0"/>
    <n v="0"/>
    <n v="3.960000038"/>
    <n v="0.01"/>
    <n v="0"/>
    <n v="0"/>
    <n v="254"/>
    <n v="757"/>
    <n v="254"/>
    <n v="1011"/>
    <x v="3"/>
    <n v="2990"/>
  </r>
  <r>
    <n v="4020332650"/>
    <d v="2016-03-13T00:00:00"/>
    <s v="Sunday"/>
    <x v="1"/>
    <n v="3226"/>
    <n v="2.3099999430000002"/>
    <n v="2.3099999430000002"/>
    <n v="0"/>
    <n v="0"/>
    <n v="0"/>
    <n v="2.2799999710000001"/>
    <n v="0"/>
    <n v="0"/>
    <n v="0"/>
    <n v="136"/>
    <n v="771"/>
    <n v="136"/>
    <n v="907"/>
    <x v="2"/>
    <n v="2480"/>
  </r>
  <r>
    <n v="4020332650"/>
    <d v="2016-03-14T00:00:00"/>
    <s v="Monday"/>
    <x v="0"/>
    <n v="3023"/>
    <n v="2.170000076"/>
    <n v="2.170000076"/>
    <n v="0"/>
    <n v="0"/>
    <n v="0"/>
    <n v="2.1400001049999999"/>
    <n v="0"/>
    <n v="0"/>
    <n v="0"/>
    <n v="145"/>
    <n v="1005"/>
    <n v="145"/>
    <n v="1150"/>
    <x v="2"/>
    <n v="2570"/>
  </r>
  <r>
    <n v="4020332650"/>
    <d v="2016-03-15T00:00:00"/>
    <s v="Tuesday"/>
    <x v="0"/>
    <n v="5906"/>
    <n v="4.2300000190000002"/>
    <n v="4.2300000190000002"/>
    <n v="0"/>
    <n v="0"/>
    <n v="0.15999999600000001"/>
    <n v="4.0399999619999996"/>
    <n v="0"/>
    <n v="0"/>
    <n v="10"/>
    <n v="215"/>
    <n v="874"/>
    <n v="225"/>
    <n v="1099"/>
    <x v="3"/>
    <n v="3016"/>
  </r>
  <r>
    <n v="4020332650"/>
    <d v="2016-03-16T00:00:00"/>
    <s v="Wednesday"/>
    <x v="0"/>
    <n v="12483"/>
    <n v="8.9899997710000008"/>
    <n v="8.9899997710000008"/>
    <n v="0"/>
    <n v="1.4500000479999999"/>
    <n v="0.56999999300000004"/>
    <n v="6.9000000950000002"/>
    <n v="0"/>
    <n v="25"/>
    <n v="14"/>
    <n v="309"/>
    <n v="599"/>
    <n v="348"/>
    <n v="947"/>
    <x v="0"/>
    <n v="3830"/>
  </r>
  <r>
    <n v="4020332650"/>
    <d v="2016-03-17T00:00:00"/>
    <s v="Thursday"/>
    <x v="0"/>
    <n v="8940"/>
    <n v="6.4099998469999999"/>
    <n v="6.4099998469999999"/>
    <n v="0"/>
    <n v="0"/>
    <n v="0"/>
    <n v="0.61000001400000003"/>
    <n v="3.9999999000000001E-2"/>
    <n v="0"/>
    <n v="0"/>
    <n v="47"/>
    <n v="986"/>
    <n v="47"/>
    <n v="1033"/>
    <x v="1"/>
    <n v="3706"/>
  </r>
  <r>
    <n v="4020332650"/>
    <d v="2016-03-28T00:00:00"/>
    <s v="Monday"/>
    <x v="0"/>
    <n v="2106"/>
    <n v="1.5099999900000001"/>
    <n v="1.5099999900000001"/>
    <n v="0"/>
    <n v="0.02"/>
    <n v="5.0000001000000002E-2"/>
    <n v="0.209999993"/>
    <n v="0"/>
    <n v="31"/>
    <n v="45"/>
    <n v="75"/>
    <n v="1289"/>
    <n v="151"/>
    <n v="1440"/>
    <x v="2"/>
    <n v="4010"/>
  </r>
  <r>
    <n v="4020332650"/>
    <d v="2016-03-29T00:00:00"/>
    <s v="Tuesday"/>
    <x v="0"/>
    <n v="4152"/>
    <n v="2.9800000190000002"/>
    <n v="2.9800000190000002"/>
    <n v="0"/>
    <n v="0"/>
    <n v="0"/>
    <n v="2.960000038"/>
    <n v="0"/>
    <n v="0"/>
    <n v="0"/>
    <n v="187"/>
    <n v="1253"/>
    <n v="187"/>
    <n v="1440"/>
    <x v="2"/>
    <n v="2976"/>
  </r>
  <r>
    <n v="4020332650"/>
    <d v="2016-03-30T00:00:00"/>
    <s v="Wednesday"/>
    <x v="0"/>
    <n v="5400"/>
    <n v="3.869999886"/>
    <n v="3.869999886"/>
    <n v="0"/>
    <n v="0"/>
    <n v="0"/>
    <n v="3.8499999049999998"/>
    <n v="0"/>
    <n v="0"/>
    <n v="0"/>
    <n v="258"/>
    <n v="795"/>
    <n v="258"/>
    <n v="1053"/>
    <x v="3"/>
    <n v="3418"/>
  </r>
  <r>
    <n v="4020332650"/>
    <d v="2016-03-31T00:00:00"/>
    <s v="Thursday"/>
    <x v="0"/>
    <n v="7428"/>
    <n v="5.329999924"/>
    <n v="5.329999924"/>
    <n v="0"/>
    <n v="0.87000000499999997"/>
    <n v="0.920000017"/>
    <n v="3.5099999899999998"/>
    <n v="0"/>
    <n v="18"/>
    <n v="33"/>
    <n v="261"/>
    <n v="860"/>
    <n v="312"/>
    <n v="1172"/>
    <x v="3"/>
    <n v="3439"/>
  </r>
  <r>
    <n v="4020332650"/>
    <d v="2016-04-01T00:00:00"/>
    <s v="Friday"/>
    <x v="0"/>
    <n v="5351"/>
    <n v="3.8399999139999998"/>
    <n v="3.8399999139999998"/>
    <n v="0"/>
    <n v="0.62000000499999997"/>
    <n v="0.18000000699999999"/>
    <n v="3.0099999899999998"/>
    <n v="0"/>
    <n v="15"/>
    <n v="17"/>
    <n v="210"/>
    <n v="748"/>
    <n v="242"/>
    <n v="990"/>
    <x v="3"/>
    <n v="3338"/>
  </r>
  <r>
    <n v="4020332650"/>
    <d v="2016-04-02T00:00:00"/>
    <s v="Saturday"/>
    <x v="1"/>
    <n v="4299"/>
    <n v="3.0999999049999998"/>
    <n v="3.0999999049999998"/>
    <n v="0"/>
    <n v="9.0000003999999995E-2"/>
    <n v="0.209999993"/>
    <n v="2.7400000100000002"/>
    <n v="3.9999999000000001E-2"/>
    <n v="3"/>
    <n v="15"/>
    <n v="162"/>
    <n v="752"/>
    <n v="180"/>
    <n v="932"/>
    <x v="2"/>
    <n v="2892"/>
  </r>
  <r>
    <n v="4020332650"/>
    <d v="2016-04-03T00:00:00"/>
    <s v="Sunday"/>
    <x v="1"/>
    <n v="6107"/>
    <n v="4.3800001139999996"/>
    <n v="4.3800001139999996"/>
    <n v="0"/>
    <n v="0"/>
    <n v="0"/>
    <n v="4.3600001339999999"/>
    <n v="0"/>
    <n v="0"/>
    <n v="0"/>
    <n v="265"/>
    <n v="776"/>
    <n v="265"/>
    <n v="1041"/>
    <x v="3"/>
    <n v="3313"/>
  </r>
  <r>
    <n v="4020332650"/>
    <d v="2016-04-04T00:00:00"/>
    <s v="Monday"/>
    <x v="0"/>
    <n v="6429"/>
    <n v="4.5999999049999998"/>
    <n v="4.5999999049999998"/>
    <n v="0"/>
    <n v="0"/>
    <n v="0.94999998799999996"/>
    <n v="3.6500000950000002"/>
    <n v="0"/>
    <n v="0"/>
    <n v="28"/>
    <n v="193"/>
    <n v="741"/>
    <n v="221"/>
    <n v="962"/>
    <x v="3"/>
    <n v="3118"/>
  </r>
  <r>
    <n v="4020332650"/>
    <d v="2016-04-05T00:00:00"/>
    <s v="Tuesday"/>
    <x v="0"/>
    <n v="6880"/>
    <n v="4.9299998279999997"/>
    <n v="4.9299998279999997"/>
    <n v="0"/>
    <n v="0.5"/>
    <n v="0.75999998999999996"/>
    <n v="3.6500000950000002"/>
    <n v="0"/>
    <n v="7"/>
    <n v="19"/>
    <n v="165"/>
    <n v="1249"/>
    <n v="191"/>
    <n v="1440"/>
    <x v="3"/>
    <n v="2966"/>
  </r>
  <r>
    <n v="4020332650"/>
    <d v="2016-04-06T00:00:00"/>
    <s v="Wednesday"/>
    <x v="0"/>
    <n v="7476"/>
    <n v="5.3600001339999999"/>
    <n v="5.3600001339999999"/>
    <n v="0"/>
    <n v="0"/>
    <n v="0"/>
    <n v="5.3099999430000002"/>
    <n v="0"/>
    <n v="0"/>
    <n v="0"/>
    <n v="263"/>
    <n v="920"/>
    <n v="263"/>
    <n v="1183"/>
    <x v="3"/>
    <n v="3253"/>
  </r>
  <r>
    <n v="4020332650"/>
    <d v="2016-04-07T00:00:00"/>
    <s v="Thursday"/>
    <x v="0"/>
    <n v="6581"/>
    <n v="4.7199997900000001"/>
    <n v="4.7199997900000001"/>
    <n v="0"/>
    <n v="0"/>
    <n v="0.28999999199999998"/>
    <n v="4.3899998660000001"/>
    <n v="0"/>
    <n v="0"/>
    <n v="8"/>
    <n v="241"/>
    <n v="1191"/>
    <n v="249"/>
    <n v="1440"/>
    <x v="3"/>
    <n v="3032"/>
  </r>
  <r>
    <n v="4020332650"/>
    <d v="2016-04-08T00:00:00"/>
    <s v="Friday"/>
    <x v="0"/>
    <n v="10480"/>
    <n v="7.5100002290000001"/>
    <n v="7.5100002290000001"/>
    <n v="0"/>
    <n v="0.40999999599999998"/>
    <n v="1.4700000289999999"/>
    <n v="5.0100002290000001"/>
    <n v="3.9999999000000001E-2"/>
    <n v="6"/>
    <n v="37"/>
    <n v="272"/>
    <n v="1125"/>
    <n v="315"/>
    <n v="1440"/>
    <x v="0"/>
    <n v="4034"/>
  </r>
  <r>
    <n v="4020332650"/>
    <d v="2016-04-09T00:00:00"/>
    <s v="Saturday"/>
    <x v="1"/>
    <n v="7734"/>
    <n v="5.5500001909999996"/>
    <n v="5.5500001909999996"/>
    <n v="0"/>
    <n v="1.1599999670000001"/>
    <n v="0.49000000999999999"/>
    <n v="3.8199999330000001"/>
    <n v="5.9999998999999998E-2"/>
    <n v="20"/>
    <n v="12"/>
    <n v="223"/>
    <n v="1185"/>
    <n v="255"/>
    <n v="1440"/>
    <x v="1"/>
    <n v="3264"/>
  </r>
  <r>
    <n v="4020332650"/>
    <d v="2016-04-10T00:00:00"/>
    <s v="Sunday"/>
    <x v="1"/>
    <n v="5129"/>
    <n v="3.6800000669999999"/>
    <n v="3.6800000669999999"/>
    <n v="0"/>
    <n v="0.18000000699999999"/>
    <n v="0.23999999499999999"/>
    <n v="3.210000038"/>
    <n v="0.01"/>
    <n v="5"/>
    <n v="7"/>
    <n v="176"/>
    <n v="1178"/>
    <n v="188"/>
    <n v="1366"/>
    <x v="3"/>
    <n v="2817"/>
  </r>
  <r>
    <n v="4020332650"/>
    <d v="2016-04-11T00:00:00"/>
    <s v="Monday"/>
    <x v="0"/>
    <n v="2993"/>
    <n v="2.1500000950000002"/>
    <n v="2.1500000950000002"/>
    <n v="0"/>
    <n v="0"/>
    <n v="0"/>
    <n v="2.0899999139999998"/>
    <n v="0"/>
    <n v="0"/>
    <n v="0"/>
    <n v="114"/>
    <n v="888"/>
    <n v="114"/>
    <n v="1002"/>
    <x v="2"/>
    <n v="2507"/>
  </r>
  <r>
    <n v="4020332650"/>
    <d v="2016-04-15T00:00:00"/>
    <s v="Friday"/>
    <x v="0"/>
    <n v="1882"/>
    <n v="1.3500000240000001"/>
    <n v="1.3500000240000001"/>
    <n v="0"/>
    <n v="0.209999993"/>
    <n v="0.36000001399999998"/>
    <n v="0.769999981"/>
    <n v="0"/>
    <n v="36"/>
    <n v="18"/>
    <n v="87"/>
    <n v="1299"/>
    <n v="141"/>
    <n v="1440"/>
    <x v="2"/>
    <n v="2951"/>
  </r>
  <r>
    <n v="4020332650"/>
    <d v="2016-04-16T00:00:00"/>
    <s v="Saturday"/>
    <x v="1"/>
    <n v="1982"/>
    <n v="1.4199999569999999"/>
    <n v="1.4199999569999999"/>
    <n v="0"/>
    <n v="0.44999998800000002"/>
    <n v="0.37000000500000002"/>
    <n v="0.58999997400000004"/>
    <n v="0"/>
    <n v="65"/>
    <n v="21"/>
    <n v="55"/>
    <n v="1222"/>
    <n v="141"/>
    <n v="1363"/>
    <x v="2"/>
    <n v="3051"/>
  </r>
  <r>
    <n v="4020332650"/>
    <d v="2016-05-02T00:00:00"/>
    <s v="Monday"/>
    <x v="0"/>
    <n v="475"/>
    <n v="0.34000000400000002"/>
    <n v="0.34000000400000002"/>
    <n v="0"/>
    <n v="0"/>
    <n v="3.9999999000000001E-2"/>
    <n v="0.28999999199999998"/>
    <n v="0"/>
    <n v="0"/>
    <n v="11"/>
    <n v="31"/>
    <n v="1350"/>
    <n v="42"/>
    <n v="1392"/>
    <x v="2"/>
    <n v="2207"/>
  </r>
  <r>
    <n v="4020332650"/>
    <d v="2016-05-03T00:00:00"/>
    <s v="Tuesday"/>
    <x v="0"/>
    <n v="4496"/>
    <n v="3.2200000289999999"/>
    <n v="3.2200000289999999"/>
    <n v="0"/>
    <n v="0"/>
    <n v="0"/>
    <n v="3.1500000950000002"/>
    <n v="5.0000001000000002E-2"/>
    <n v="0"/>
    <n v="0"/>
    <n v="174"/>
    <n v="950"/>
    <n v="174"/>
    <n v="1124"/>
    <x v="2"/>
    <n v="2828"/>
  </r>
  <r>
    <n v="4020332650"/>
    <d v="2016-05-04T00:00:00"/>
    <s v="Wednesday"/>
    <x v="0"/>
    <n v="10252"/>
    <n v="7.3499999049999998"/>
    <n v="7.3499999049999998"/>
    <n v="0"/>
    <n v="0.670000017"/>
    <n v="1.039999962"/>
    <n v="5.579999924"/>
    <n v="0"/>
    <n v="13"/>
    <n v="46"/>
    <n v="346"/>
    <n v="531"/>
    <n v="405"/>
    <n v="936"/>
    <x v="0"/>
    <n v="3879"/>
  </r>
  <r>
    <n v="4020332650"/>
    <d v="2016-05-05T00:00:00"/>
    <s v="Thursday"/>
    <x v="0"/>
    <n v="11728"/>
    <n v="8.4300003050000001"/>
    <n v="8.4300003050000001"/>
    <n v="0"/>
    <n v="2.619999886"/>
    <n v="1.6799999480000001"/>
    <n v="4.0399999619999996"/>
    <n v="7.0000000000000007E-2"/>
    <n v="38"/>
    <n v="42"/>
    <n v="196"/>
    <n v="916"/>
    <n v="276"/>
    <n v="1192"/>
    <x v="0"/>
    <n v="3429"/>
  </r>
  <r>
    <n v="4020332650"/>
    <d v="2016-05-06T00:00:00"/>
    <s v="Friday"/>
    <x v="0"/>
    <n v="4369"/>
    <n v="3.130000114"/>
    <n v="3.130000114"/>
    <n v="0"/>
    <n v="0"/>
    <n v="0"/>
    <n v="3.0999999049999998"/>
    <n v="0.01"/>
    <n v="0"/>
    <n v="0"/>
    <n v="177"/>
    <n v="855"/>
    <n v="177"/>
    <n v="1032"/>
    <x v="2"/>
    <n v="2704"/>
  </r>
  <r>
    <n v="4020332650"/>
    <d v="2016-05-07T00:00:00"/>
    <s v="Saturday"/>
    <x v="1"/>
    <n v="6132"/>
    <n v="4.4000000950000002"/>
    <n v="4.4000000950000002"/>
    <n v="0"/>
    <n v="0"/>
    <n v="0"/>
    <n v="3.579999924"/>
    <n v="0"/>
    <n v="0"/>
    <n v="0"/>
    <n v="184"/>
    <n v="1256"/>
    <n v="184"/>
    <n v="1440"/>
    <x v="3"/>
    <n v="2975"/>
  </r>
  <r>
    <n v="4020332650"/>
    <d v="2016-05-08T00:00:00"/>
    <s v="Sunday"/>
    <x v="1"/>
    <n v="5862"/>
    <n v="4.1999998090000004"/>
    <n v="4.1999998090000004"/>
    <n v="0"/>
    <n v="0"/>
    <n v="0"/>
    <n v="4.1500000950000002"/>
    <n v="0"/>
    <n v="0"/>
    <n v="0"/>
    <n v="263"/>
    <n v="775"/>
    <n v="263"/>
    <n v="1038"/>
    <x v="3"/>
    <n v="3089"/>
  </r>
  <r>
    <n v="4020332650"/>
    <d v="2016-05-09T00:00:00"/>
    <s v="Monday"/>
    <x v="0"/>
    <n v="4556"/>
    <n v="3.2699999809999998"/>
    <n v="3.2699999809999998"/>
    <n v="0"/>
    <n v="0.20000000300000001"/>
    <n v="0.119999997"/>
    <n v="2.9400000569999998"/>
    <n v="0"/>
    <n v="3"/>
    <n v="5"/>
    <n v="173"/>
    <n v="1225"/>
    <n v="181"/>
    <n v="1406"/>
    <x v="2"/>
    <n v="2785"/>
  </r>
  <r>
    <n v="4020332650"/>
    <d v="2016-05-10T00:00:00"/>
    <s v="Tuesday"/>
    <x v="0"/>
    <n v="5546"/>
    <n v="3.9800000190000002"/>
    <n v="3.9800000190000002"/>
    <n v="0"/>
    <n v="0"/>
    <n v="0"/>
    <n v="3.869999886"/>
    <n v="3.9999999000000001E-2"/>
    <n v="0"/>
    <n v="0"/>
    <n v="206"/>
    <n v="774"/>
    <n v="206"/>
    <n v="980"/>
    <x v="3"/>
    <n v="2926"/>
  </r>
  <r>
    <n v="4020332650"/>
    <d v="2016-05-11T00:00:00"/>
    <s v="Wednesday"/>
    <x v="0"/>
    <n v="3689"/>
    <n v="2.6500000950000002"/>
    <n v="2.6500000950000002"/>
    <n v="0"/>
    <n v="0.109999999"/>
    <n v="0.17000000200000001"/>
    <n v="2.329999924"/>
    <n v="0"/>
    <n v="2"/>
    <n v="8"/>
    <n v="134"/>
    <n v="1296"/>
    <n v="144"/>
    <n v="1440"/>
    <x v="2"/>
    <n v="2645"/>
  </r>
  <r>
    <n v="4020332650"/>
    <d v="2016-05-12T00:00:00"/>
    <s v="Thursday"/>
    <x v="0"/>
    <n v="590"/>
    <n v="0.41999998700000002"/>
    <n v="0.41999998700000002"/>
    <n v="0"/>
    <n v="0"/>
    <n v="0"/>
    <n v="0.40999999599999998"/>
    <n v="0"/>
    <n v="0"/>
    <n v="0"/>
    <n v="21"/>
    <n v="721"/>
    <n v="21"/>
    <n v="742"/>
    <x v="2"/>
    <n v="1120"/>
  </r>
  <r>
    <n v="4057192912"/>
    <d v="2016-03-14T00:00:00"/>
    <s v="Monday"/>
    <x v="0"/>
    <n v="8433"/>
    <n v="6.2300000190000002"/>
    <n v="6.2300000190000002"/>
    <n v="0"/>
    <n v="2.4500000480000002"/>
    <n v="0.33000001299999998"/>
    <n v="3.4400000569999998"/>
    <n v="0"/>
    <n v="30"/>
    <n v="7"/>
    <n v="135"/>
    <n v="1268"/>
    <n v="172"/>
    <n v="1440"/>
    <x v="1"/>
    <n v="2453"/>
  </r>
  <r>
    <n v="4057192912"/>
    <d v="2016-03-16T00:00:00"/>
    <s v="Wednesday"/>
    <x v="0"/>
    <n v="2139"/>
    <n v="1.559999943"/>
    <n v="1.559999943"/>
    <n v="0"/>
    <n v="0"/>
    <n v="1.2999999520000001"/>
    <n v="0.25999999000000001"/>
    <n v="0"/>
    <n v="0"/>
    <n v="28"/>
    <n v="15"/>
    <n v="1397"/>
    <n v="43"/>
    <n v="1440"/>
    <x v="2"/>
    <n v="1935"/>
  </r>
  <r>
    <n v="4057192912"/>
    <d v="2016-03-18T00:00:00"/>
    <s v="Friday"/>
    <x v="0"/>
    <n v="949"/>
    <n v="0.689999998"/>
    <n v="0.689999998"/>
    <n v="0"/>
    <n v="0"/>
    <n v="0"/>
    <n v="0.689999998"/>
    <n v="0"/>
    <n v="0"/>
    <n v="0"/>
    <n v="34"/>
    <n v="1406"/>
    <n v="34"/>
    <n v="1440"/>
    <x v="2"/>
    <n v="1870"/>
  </r>
  <r>
    <n v="4057192912"/>
    <d v="2016-03-21T00:00:00"/>
    <s v="Monday"/>
    <x v="0"/>
    <n v="2660"/>
    <n v="1.940000057"/>
    <n v="1.940000057"/>
    <n v="0"/>
    <n v="0"/>
    <n v="0"/>
    <n v="1.940000057"/>
    <n v="0"/>
    <n v="0"/>
    <n v="0"/>
    <n v="46"/>
    <n v="1394"/>
    <n v="46"/>
    <n v="1440"/>
    <x v="2"/>
    <n v="1978"/>
  </r>
  <r>
    <n v="4057192912"/>
    <d v="2016-03-22T00:00:00"/>
    <s v="Tuesday"/>
    <x v="0"/>
    <n v="5561"/>
    <n v="4.1900000569999998"/>
    <n v="4.1900000569999998"/>
    <n v="0"/>
    <n v="0"/>
    <n v="0"/>
    <n v="4.0700001720000003"/>
    <n v="0"/>
    <n v="0"/>
    <n v="0"/>
    <n v="169"/>
    <n v="1271"/>
    <n v="169"/>
    <n v="1440"/>
    <x v="3"/>
    <n v="2296"/>
  </r>
  <r>
    <n v="4057192912"/>
    <d v="2016-03-23T00:00:00"/>
    <s v="Wednesday"/>
    <x v="0"/>
    <n v="7239"/>
    <n v="5.3400001530000001"/>
    <n v="5.3400001530000001"/>
    <n v="0"/>
    <n v="0.55000001200000004"/>
    <n v="0.36000001399999998"/>
    <n v="4.3800001139999996"/>
    <n v="0"/>
    <n v="7"/>
    <n v="7"/>
    <n v="190"/>
    <n v="1236"/>
    <n v="204"/>
    <n v="1440"/>
    <x v="3"/>
    <n v="2484"/>
  </r>
  <r>
    <n v="4057192912"/>
    <d v="2016-03-27T00:00:00"/>
    <s v="Sunday"/>
    <x v="1"/>
    <n v="2275"/>
    <n v="1.6799999480000001"/>
    <n v="1.6799999480000001"/>
    <n v="0"/>
    <n v="0"/>
    <n v="0"/>
    <n v="1.6599999670000001"/>
    <n v="0"/>
    <n v="0"/>
    <n v="0"/>
    <n v="86"/>
    <n v="1354"/>
    <n v="86"/>
    <n v="1440"/>
    <x v="2"/>
    <n v="2005"/>
  </r>
  <r>
    <n v="4057192912"/>
    <d v="2016-03-29T00:00:00"/>
    <s v="Tuesday"/>
    <x v="0"/>
    <n v="5137"/>
    <n v="3.7599999899999998"/>
    <n v="3.7599999899999998"/>
    <n v="0"/>
    <n v="0"/>
    <n v="0"/>
    <n v="3.7599999899999998"/>
    <n v="0"/>
    <n v="0"/>
    <n v="0"/>
    <n v="160"/>
    <n v="1280"/>
    <n v="160"/>
    <n v="1440"/>
    <x v="3"/>
    <n v="2293"/>
  </r>
  <r>
    <n v="4057192912"/>
    <d v="2016-03-30T00:00:00"/>
    <s v="Wednesday"/>
    <x v="0"/>
    <n v="5419"/>
    <n v="4"/>
    <n v="4.5700001720000003"/>
    <n v="5.5842998999999997E-2"/>
    <n v="0"/>
    <n v="0"/>
    <n v="3.9100000860000002"/>
    <n v="5.9999998999999998E-2"/>
    <n v="0"/>
    <n v="0"/>
    <n v="145"/>
    <n v="1295"/>
    <n v="145"/>
    <n v="1440"/>
    <x v="3"/>
    <n v="2259"/>
  </r>
  <r>
    <n v="4057192912"/>
    <d v="2016-04-08T00:00:00"/>
    <s v="Friday"/>
    <x v="0"/>
    <n v="8426"/>
    <n v="6.1599998469999999"/>
    <n v="6.1599998469999999"/>
    <n v="0"/>
    <n v="0.12999999500000001"/>
    <n v="5.4899997709999999"/>
    <n v="0.540000021"/>
    <n v="0"/>
    <n v="2"/>
    <n v="120"/>
    <n v="25"/>
    <n v="1293"/>
    <n v="147"/>
    <n v="1440"/>
    <x v="1"/>
    <n v="2360"/>
  </r>
  <r>
    <n v="4057192912"/>
    <d v="2016-04-09T00:00:00"/>
    <s v="Saturday"/>
    <x v="1"/>
    <n v="1650"/>
    <n v="1.210000038"/>
    <n v="1.210000038"/>
    <n v="0"/>
    <n v="0"/>
    <n v="0"/>
    <n v="1.210000038"/>
    <n v="0"/>
    <n v="0"/>
    <n v="0"/>
    <n v="60"/>
    <n v="1380"/>
    <n v="60"/>
    <n v="1440"/>
    <x v="2"/>
    <n v="1952"/>
  </r>
  <r>
    <n v="4057192912"/>
    <d v="2016-04-10T00:00:00"/>
    <s v="Sunday"/>
    <x v="1"/>
    <n v="3434"/>
    <n v="2.5099999899999998"/>
    <n v="2.5099999899999998"/>
    <n v="0"/>
    <n v="7.0000000000000007E-2"/>
    <n v="0.30000001199999998"/>
    <n v="2.1400001049999999"/>
    <n v="0"/>
    <n v="1"/>
    <n v="7"/>
    <n v="108"/>
    <n v="1324"/>
    <n v="116"/>
    <n v="1440"/>
    <x v="2"/>
    <n v="2101"/>
  </r>
  <r>
    <n v="4057192912"/>
    <d v="2016-04-11T00:00:00"/>
    <s v="Monday"/>
    <x v="0"/>
    <n v="6801"/>
    <n v="4.9800000190000002"/>
    <n v="4.9800000190000002"/>
    <n v="0"/>
    <n v="0"/>
    <n v="0"/>
    <n v="4.9699997900000001"/>
    <n v="0"/>
    <n v="0"/>
    <n v="0"/>
    <n v="193"/>
    <n v="1247"/>
    <n v="193"/>
    <n v="1440"/>
    <x v="3"/>
    <n v="2393"/>
  </r>
  <r>
    <n v="4057192912"/>
    <d v="2016-04-13T00:00:00"/>
    <s v="Wednesday"/>
    <x v="0"/>
    <n v="5974"/>
    <n v="4.4699997900000001"/>
    <n v="4.4699997900000001"/>
    <n v="0"/>
    <n v="0"/>
    <n v="0"/>
    <n v="4.3699998860000004"/>
    <n v="0"/>
    <n v="0"/>
    <n v="0"/>
    <n v="160"/>
    <n v="1280"/>
    <n v="160"/>
    <n v="1440"/>
    <x v="3"/>
    <n v="2306"/>
  </r>
  <r>
    <n v="4057192912"/>
    <d v="2016-04-15T00:00:00"/>
    <s v="Friday"/>
    <x v="0"/>
    <n v="3984"/>
    <n v="2.9500000480000002"/>
    <n v="2.9500000480000002"/>
    <n v="0"/>
    <n v="0.209999993"/>
    <n v="0.25999999000000001"/>
    <n v="2.4400000569999998"/>
    <n v="0"/>
    <n v="3"/>
    <n v="6"/>
    <n v="88"/>
    <n v="873"/>
    <n v="97"/>
    <n v="970"/>
    <x v="2"/>
    <n v="1527"/>
  </r>
  <r>
    <n v="4319703577"/>
    <d v="2016-03-29T00:00:00"/>
    <s v="Tuesday"/>
    <x v="0"/>
    <n v="5643"/>
    <n v="3.789999962"/>
    <n v="3.789999962"/>
    <n v="0"/>
    <n v="0.23000000400000001"/>
    <n v="0.33000001299999998"/>
    <n v="3.2300000190000002"/>
    <n v="0"/>
    <n v="3"/>
    <n v="8"/>
    <n v="199"/>
    <n v="683"/>
    <n v="210"/>
    <n v="893"/>
    <x v="3"/>
    <n v="1958"/>
  </r>
  <r>
    <n v="4319703577"/>
    <d v="2016-03-30T00:00:00"/>
    <s v="Wednesday"/>
    <x v="0"/>
    <n v="9043"/>
    <n v="6.0700001720000003"/>
    <n v="6.0700001720000003"/>
    <n v="0"/>
    <n v="0.25"/>
    <n v="0.43000000700000002"/>
    <n v="5.3699998860000004"/>
    <n v="0"/>
    <n v="4"/>
    <n v="12"/>
    <n v="244"/>
    <n v="702"/>
    <n v="260"/>
    <n v="962"/>
    <x v="1"/>
    <n v="2141"/>
  </r>
  <r>
    <n v="4319703577"/>
    <d v="2016-03-31T00:00:00"/>
    <s v="Thursday"/>
    <x v="0"/>
    <n v="8144"/>
    <n v="5.4600000380000004"/>
    <n v="5.4600000380000004"/>
    <n v="0"/>
    <n v="0.25"/>
    <n v="0.61000001400000003"/>
    <n v="4.6100001339999999"/>
    <n v="0"/>
    <n v="4"/>
    <n v="17"/>
    <n v="247"/>
    <n v="1125"/>
    <n v="268"/>
    <n v="1393"/>
    <x v="1"/>
    <n v="2129"/>
  </r>
  <r>
    <n v="4319703577"/>
    <d v="2016-04-01T00:00:00"/>
    <s v="Friday"/>
    <x v="0"/>
    <n v="9343"/>
    <n v="6.2699999809999998"/>
    <n v="6.2699999809999998"/>
    <n v="0"/>
    <n v="0.959999979"/>
    <n v="0.85000002399999997"/>
    <n v="4.4600000380000004"/>
    <n v="0"/>
    <n v="14"/>
    <n v="20"/>
    <n v="268"/>
    <n v="654"/>
    <n v="302"/>
    <n v="956"/>
    <x v="1"/>
    <n v="2216"/>
  </r>
  <r>
    <n v="4319703577"/>
    <d v="2016-04-02T00:00:00"/>
    <s v="Saturday"/>
    <x v="1"/>
    <n v="8405"/>
    <n v="5.6599998469999999"/>
    <n v="5.6599998469999999"/>
    <n v="0"/>
    <n v="1.1299999949999999"/>
    <n v="0.189999998"/>
    <n v="4.3400001530000001"/>
    <n v="0"/>
    <n v="15"/>
    <n v="4"/>
    <n v="257"/>
    <n v="621"/>
    <n v="276"/>
    <n v="897"/>
    <x v="1"/>
    <n v="2154"/>
  </r>
  <r>
    <n v="4319703577"/>
    <d v="2016-04-03T00:00:00"/>
    <s v="Sunday"/>
    <x v="1"/>
    <n v="8223"/>
    <n v="5.5199999809999998"/>
    <n v="5.5199999809999998"/>
    <n v="0"/>
    <n v="0.80000001200000004"/>
    <n v="1.5099999900000001"/>
    <n v="3.210000038"/>
    <n v="0"/>
    <n v="12"/>
    <n v="37"/>
    <n v="257"/>
    <n v="551"/>
    <n v="306"/>
    <n v="857"/>
    <x v="1"/>
    <n v="2178"/>
  </r>
  <r>
    <n v="4319703577"/>
    <d v="2016-04-04T00:00:00"/>
    <s v="Monday"/>
    <x v="0"/>
    <n v="10067"/>
    <n v="6.7600002290000001"/>
    <n v="6.7600002290000001"/>
    <n v="0"/>
    <n v="0.36000001399999998"/>
    <n v="1.4199999569999999"/>
    <n v="4.9699997900000001"/>
    <n v="0"/>
    <n v="5"/>
    <n v="39"/>
    <n v="313"/>
    <n v="578"/>
    <n v="357"/>
    <n v="935"/>
    <x v="0"/>
    <n v="2308"/>
  </r>
  <r>
    <n v="4319703577"/>
    <d v="2016-04-05T00:00:00"/>
    <s v="Tuesday"/>
    <x v="0"/>
    <n v="8359"/>
    <n v="5.6300001139999996"/>
    <n v="5.6300001139999996"/>
    <n v="0"/>
    <n v="0.23000000400000001"/>
    <n v="0.52999997099999996"/>
    <n v="4.8699998860000004"/>
    <n v="0"/>
    <n v="3"/>
    <n v="14"/>
    <n v="311"/>
    <n v="638"/>
    <n v="328"/>
    <n v="966"/>
    <x v="1"/>
    <n v="2201"/>
  </r>
  <r>
    <n v="4319703577"/>
    <d v="2016-04-06T00:00:00"/>
    <s v="Wednesday"/>
    <x v="0"/>
    <n v="10946"/>
    <n v="7.3499999049999998"/>
    <n v="7.3499999049999998"/>
    <n v="0"/>
    <n v="0.540000021"/>
    <n v="2.0899999139999998"/>
    <n v="4.7199997900000001"/>
    <n v="0"/>
    <n v="8"/>
    <n v="51"/>
    <n v="308"/>
    <n v="569"/>
    <n v="367"/>
    <n v="936"/>
    <x v="0"/>
    <n v="2341"/>
  </r>
  <r>
    <n v="4319703577"/>
    <d v="2016-04-07T00:00:00"/>
    <s v="Thursday"/>
    <x v="0"/>
    <n v="9130"/>
    <n v="6.1500000950000002"/>
    <n v="6.1500000950000002"/>
    <n v="0"/>
    <n v="0.5"/>
    <n v="0.37999999499999998"/>
    <n v="5.2699999809999998"/>
    <n v="0"/>
    <n v="7"/>
    <n v="11"/>
    <n v="304"/>
    <n v="668"/>
    <n v="322"/>
    <n v="990"/>
    <x v="1"/>
    <n v="2236"/>
  </r>
  <r>
    <n v="4319703577"/>
    <d v="2016-04-08T00:00:00"/>
    <s v="Friday"/>
    <x v="0"/>
    <n v="6544"/>
    <n v="4.4099998469999999"/>
    <n v="4.4099998469999999"/>
    <n v="0"/>
    <n v="0.28999999199999998"/>
    <n v="0.25999999000000001"/>
    <n v="3.8599998950000001"/>
    <n v="0"/>
    <n v="4"/>
    <n v="6"/>
    <n v="276"/>
    <n v="1132"/>
    <n v="286"/>
    <n v="1418"/>
    <x v="3"/>
    <n v="2069"/>
  </r>
  <r>
    <n v="4319703577"/>
    <d v="2016-04-13T00:00:00"/>
    <s v="Wednesday"/>
    <x v="0"/>
    <n v="8204"/>
    <n v="5.5"/>
    <n v="5.5"/>
    <n v="0"/>
    <n v="0.52999997099999996"/>
    <n v="0.58999997400000004"/>
    <n v="1.309999943"/>
    <n v="0"/>
    <n v="8"/>
    <n v="15"/>
    <n v="96"/>
    <n v="1234"/>
    <n v="119"/>
    <n v="1353"/>
    <x v="1"/>
    <n v="2135"/>
  </r>
  <r>
    <n v="4319703577"/>
    <d v="2016-04-14T00:00:00"/>
    <s v="Thursday"/>
    <x v="0"/>
    <n v="10210"/>
    <n v="6.8800001139999996"/>
    <n v="6.8800001139999996"/>
    <n v="0"/>
    <n v="0.109999999"/>
    <n v="0.33000001299999998"/>
    <n v="6.4400000569999998"/>
    <n v="0"/>
    <n v="1"/>
    <n v="9"/>
    <n v="339"/>
    <n v="589"/>
    <n v="349"/>
    <n v="938"/>
    <x v="0"/>
    <n v="2302"/>
  </r>
  <r>
    <n v="4319703577"/>
    <d v="2016-04-15T00:00:00"/>
    <s v="Friday"/>
    <x v="0"/>
    <n v="5664"/>
    <n v="3.7999999519999998"/>
    <n v="3.7999999519999998"/>
    <n v="0"/>
    <n v="0"/>
    <n v="0"/>
    <n v="3.7999999519999998"/>
    <n v="0"/>
    <n v="0"/>
    <n v="0"/>
    <n v="228"/>
    <n v="752"/>
    <n v="228"/>
    <n v="980"/>
    <x v="3"/>
    <n v="1985"/>
  </r>
  <r>
    <n v="4319703577"/>
    <d v="2016-04-16T00:00:00"/>
    <s v="Saturday"/>
    <x v="1"/>
    <n v="4744"/>
    <n v="3.1800000669999999"/>
    <n v="3.1800000669999999"/>
    <n v="0"/>
    <n v="0"/>
    <n v="0"/>
    <n v="3.1800000669999999"/>
    <n v="0"/>
    <n v="0"/>
    <n v="0"/>
    <n v="194"/>
    <n v="724"/>
    <n v="194"/>
    <n v="918"/>
    <x v="2"/>
    <n v="1884"/>
  </r>
  <r>
    <n v="4319703577"/>
    <d v="2016-04-18T00:00:00"/>
    <s v="Monday"/>
    <x v="0"/>
    <n v="2276"/>
    <n v="1.5499999520000001"/>
    <n v="1.5499999520000001"/>
    <n v="0"/>
    <n v="7.0000000000000007E-2"/>
    <n v="0.33000001299999998"/>
    <n v="1.1200000050000001"/>
    <n v="0"/>
    <n v="1"/>
    <n v="9"/>
    <n v="58"/>
    <n v="824"/>
    <n v="68"/>
    <n v="892"/>
    <x v="2"/>
    <n v="1632"/>
  </r>
  <r>
    <n v="4319703577"/>
    <d v="2016-04-19T00:00:00"/>
    <s v="Tuesday"/>
    <x v="0"/>
    <n v="8925"/>
    <n v="5.9899997709999999"/>
    <n v="5.9899997709999999"/>
    <n v="0"/>
    <n v="0"/>
    <n v="0"/>
    <n v="5.9899997709999999"/>
    <n v="0"/>
    <n v="0"/>
    <n v="0"/>
    <n v="311"/>
    <n v="604"/>
    <n v="311"/>
    <n v="915"/>
    <x v="1"/>
    <n v="2200"/>
  </r>
  <r>
    <n v="4319703577"/>
    <d v="2016-04-20T00:00:00"/>
    <s v="Wednesday"/>
    <x v="0"/>
    <n v="8954"/>
    <n v="6.0100002290000001"/>
    <n v="6.0100002290000001"/>
    <n v="0"/>
    <n v="0"/>
    <n v="0.68000000699999996"/>
    <n v="5.3099999430000002"/>
    <n v="0"/>
    <n v="0"/>
    <n v="18"/>
    <n v="306"/>
    <n v="671"/>
    <n v="324"/>
    <n v="995"/>
    <x v="1"/>
    <n v="2220"/>
  </r>
  <r>
    <n v="4319703577"/>
    <d v="2016-04-21T00:00:00"/>
    <s v="Thursday"/>
    <x v="0"/>
    <n v="3702"/>
    <n v="2.4800000190000002"/>
    <n v="2.4800000190000002"/>
    <n v="0"/>
    <n v="0"/>
    <n v="0"/>
    <n v="0.34999999399999998"/>
    <n v="0"/>
    <n v="0"/>
    <n v="0"/>
    <n v="34"/>
    <n v="1265"/>
    <n v="34"/>
    <n v="1299"/>
    <x v="2"/>
    <n v="1792"/>
  </r>
  <r>
    <n v="4319703577"/>
    <d v="2016-04-22T00:00:00"/>
    <s v="Friday"/>
    <x v="0"/>
    <n v="4500"/>
    <n v="3.0199999809999998"/>
    <n v="3.0199999809999998"/>
    <n v="0"/>
    <n v="5.9999998999999998E-2"/>
    <n v="0.810000002"/>
    <n v="2.1500000950000002"/>
    <n v="0"/>
    <n v="1"/>
    <n v="19"/>
    <n v="176"/>
    <n v="709"/>
    <n v="196"/>
    <n v="905"/>
    <x v="2"/>
    <n v="1886"/>
  </r>
  <r>
    <n v="4319703577"/>
    <d v="2016-04-23T00:00:00"/>
    <s v="Saturday"/>
    <x v="1"/>
    <n v="4935"/>
    <n v="3.3099999430000002"/>
    <n v="3.3099999430000002"/>
    <n v="0"/>
    <n v="0"/>
    <n v="0"/>
    <n v="3.3099999430000002"/>
    <n v="0"/>
    <n v="0"/>
    <n v="0"/>
    <n v="233"/>
    <n v="546"/>
    <n v="233"/>
    <n v="779"/>
    <x v="2"/>
    <n v="1945"/>
  </r>
  <r>
    <n v="4319703577"/>
    <d v="2016-04-24T00:00:00"/>
    <s v="Sunday"/>
    <x v="1"/>
    <n v="4081"/>
    <n v="2.7400000100000002"/>
    <n v="2.7400000100000002"/>
    <n v="0"/>
    <n v="5.9999998999999998E-2"/>
    <n v="0.20000000300000001"/>
    <n v="2.4700000289999999"/>
    <n v="0"/>
    <n v="1"/>
    <n v="5"/>
    <n v="191"/>
    <n v="692"/>
    <n v="197"/>
    <n v="889"/>
    <x v="2"/>
    <n v="1880"/>
  </r>
  <r>
    <n v="4319703577"/>
    <d v="2016-04-25T00:00:00"/>
    <s v="Monday"/>
    <x v="0"/>
    <n v="9259"/>
    <n v="6.2100000380000004"/>
    <n v="6.2100000380000004"/>
    <n v="0"/>
    <n v="0"/>
    <n v="0.280000001"/>
    <n v="5.9299998279999997"/>
    <n v="0"/>
    <n v="0"/>
    <n v="8"/>
    <n v="390"/>
    <n v="544"/>
    <n v="398"/>
    <n v="942"/>
    <x v="1"/>
    <n v="2314"/>
  </r>
  <r>
    <n v="4319703577"/>
    <d v="2016-04-26T00:00:00"/>
    <s v="Tuesday"/>
    <x v="0"/>
    <n v="9899"/>
    <n v="6.6399998660000001"/>
    <n v="6.6399998660000001"/>
    <n v="0"/>
    <n v="0.56999999300000004"/>
    <n v="0.920000017"/>
    <n v="5.1500000950000002"/>
    <n v="0"/>
    <n v="8"/>
    <n v="21"/>
    <n v="288"/>
    <n v="649"/>
    <n v="317"/>
    <n v="966"/>
    <x v="1"/>
    <n v="2236"/>
  </r>
  <r>
    <n v="4319703577"/>
    <d v="2016-04-27T00:00:00"/>
    <s v="Wednesday"/>
    <x v="0"/>
    <n v="10780"/>
    <n v="7.2300000190000002"/>
    <n v="7.2300000190000002"/>
    <n v="0"/>
    <n v="0.40999999599999998"/>
    <n v="1.9199999569999999"/>
    <n v="4.9099998469999999"/>
    <n v="0"/>
    <n v="6"/>
    <n v="47"/>
    <n v="300"/>
    <n v="680"/>
    <n v="353"/>
    <n v="1033"/>
    <x v="0"/>
    <n v="2324"/>
  </r>
  <r>
    <n v="4319703577"/>
    <d v="2016-04-28T00:00:00"/>
    <s v="Thursday"/>
    <x v="0"/>
    <n v="10817"/>
    <n v="7.2800002099999999"/>
    <n v="7.2800002099999999"/>
    <n v="0"/>
    <n v="1.0099999900000001"/>
    <n v="0.33000001299999998"/>
    <n v="5.9400000569999998"/>
    <n v="0"/>
    <n v="13"/>
    <n v="8"/>
    <n v="359"/>
    <n v="552"/>
    <n v="380"/>
    <n v="932"/>
    <x v="0"/>
    <n v="2367"/>
  </r>
  <r>
    <n v="4319703577"/>
    <d v="2016-04-29T00:00:00"/>
    <s v="Friday"/>
    <x v="0"/>
    <n v="7990"/>
    <n v="5.3600001339999999"/>
    <n v="5.3600001339999999"/>
    <n v="0"/>
    <n v="0.44999998800000002"/>
    <n v="0.790000021"/>
    <n v="4.1199998860000004"/>
    <n v="0"/>
    <n v="6"/>
    <n v="18"/>
    <n v="289"/>
    <n v="624"/>
    <n v="313"/>
    <n v="937"/>
    <x v="1"/>
    <n v="2175"/>
  </r>
  <r>
    <n v="4319703577"/>
    <d v="2016-04-30T00:00:00"/>
    <s v="Saturday"/>
    <x v="1"/>
    <n v="8221"/>
    <n v="5.5199999809999998"/>
    <n v="5.5199999809999998"/>
    <n v="0"/>
    <n v="0.40000000600000002"/>
    <n v="1.6100000139999999"/>
    <n v="3.5099999899999998"/>
    <n v="0"/>
    <n v="6"/>
    <n v="38"/>
    <n v="196"/>
    <n v="695"/>
    <n v="240"/>
    <n v="935"/>
    <x v="1"/>
    <n v="2092"/>
  </r>
  <r>
    <n v="4319703577"/>
    <d v="2016-05-01T00:00:00"/>
    <s v="Sunday"/>
    <x v="1"/>
    <n v="1251"/>
    <n v="0.83999997400000004"/>
    <n v="0.83999997400000004"/>
    <n v="0"/>
    <n v="0"/>
    <n v="0"/>
    <n v="0.83999997400000004"/>
    <n v="0"/>
    <n v="0"/>
    <n v="0"/>
    <n v="67"/>
    <n v="836"/>
    <n v="67"/>
    <n v="903"/>
    <x v="2"/>
    <n v="1593"/>
  </r>
  <r>
    <n v="4319703577"/>
    <d v="2016-05-02T00:00:00"/>
    <s v="Monday"/>
    <x v="0"/>
    <n v="9261"/>
    <n v="6.2399997709999999"/>
    <n v="6.2399997709999999"/>
    <n v="0"/>
    <n v="0"/>
    <n v="0.439999998"/>
    <n v="5.7100000380000004"/>
    <n v="0"/>
    <n v="0"/>
    <n v="11"/>
    <n v="344"/>
    <n v="585"/>
    <n v="355"/>
    <n v="940"/>
    <x v="1"/>
    <n v="2270"/>
  </r>
  <r>
    <n v="4319703577"/>
    <d v="2016-05-03T00:00:00"/>
    <s v="Tuesday"/>
    <x v="0"/>
    <n v="9648"/>
    <n v="6.4699997900000001"/>
    <n v="6.4699997900000001"/>
    <n v="0"/>
    <n v="0.579999983"/>
    <n v="1.0700000519999999"/>
    <n v="4.829999924"/>
    <n v="0"/>
    <n v="8"/>
    <n v="26"/>
    <n v="287"/>
    <n v="669"/>
    <n v="321"/>
    <n v="990"/>
    <x v="1"/>
    <n v="2235"/>
  </r>
  <r>
    <n v="4319703577"/>
    <d v="2016-05-04T00:00:00"/>
    <s v="Wednesday"/>
    <x v="0"/>
    <n v="10429"/>
    <n v="7.0199999809999998"/>
    <n v="7.0199999809999998"/>
    <n v="0"/>
    <n v="0.58999997400000004"/>
    <n v="0.579999983"/>
    <n v="5.8499999049999998"/>
    <n v="0"/>
    <n v="8"/>
    <n v="13"/>
    <n v="313"/>
    <n v="1106"/>
    <n v="334"/>
    <n v="1440"/>
    <x v="0"/>
    <n v="2282"/>
  </r>
  <r>
    <n v="4319703577"/>
    <d v="2016-05-05T00:00:00"/>
    <s v="Thursday"/>
    <x v="0"/>
    <n v="13658"/>
    <n v="9.4899997710000008"/>
    <n v="9.4899997710000008"/>
    <n v="0"/>
    <n v="2.630000114"/>
    <n v="1.4099999670000001"/>
    <n v="5.4499998090000004"/>
    <n v="0"/>
    <n v="27"/>
    <n v="34"/>
    <n v="328"/>
    <n v="957"/>
    <n v="389"/>
    <n v="1346"/>
    <x v="0"/>
    <n v="2530"/>
  </r>
  <r>
    <n v="4319703577"/>
    <d v="2016-05-06T00:00:00"/>
    <s v="Friday"/>
    <x v="0"/>
    <n v="9524"/>
    <n v="6.420000076"/>
    <n v="6.420000076"/>
    <n v="0"/>
    <n v="0.40999999599999998"/>
    <n v="0.469999999"/>
    <n v="5.4600000380000004"/>
    <n v="0"/>
    <n v="6"/>
    <n v="11"/>
    <n v="314"/>
    <n v="692"/>
    <n v="331"/>
    <n v="1023"/>
    <x v="1"/>
    <n v="2266"/>
  </r>
  <r>
    <n v="4319703577"/>
    <d v="2016-05-07T00:00:00"/>
    <s v="Saturday"/>
    <x v="1"/>
    <n v="7937"/>
    <n v="5.329999924"/>
    <n v="5.329999924"/>
    <n v="0"/>
    <n v="0.189999998"/>
    <n v="1.0499999520000001"/>
    <n v="4.079999924"/>
    <n v="0"/>
    <n v="3"/>
    <n v="28"/>
    <n v="279"/>
    <n v="586"/>
    <n v="310"/>
    <n v="896"/>
    <x v="1"/>
    <n v="2158"/>
  </r>
  <r>
    <n v="4319703577"/>
    <d v="2016-05-08T00:00:00"/>
    <s v="Sunday"/>
    <x v="1"/>
    <n v="3672"/>
    <n v="2.460000038"/>
    <n v="2.460000038"/>
    <n v="0"/>
    <n v="0"/>
    <n v="0"/>
    <n v="2.460000038"/>
    <n v="0"/>
    <n v="0"/>
    <n v="0"/>
    <n v="153"/>
    <n v="603"/>
    <n v="153"/>
    <n v="756"/>
    <x v="2"/>
    <n v="1792"/>
  </r>
  <r>
    <n v="4319703577"/>
    <d v="2016-05-09T00:00:00"/>
    <s v="Monday"/>
    <x v="0"/>
    <n v="10378"/>
    <n v="6.9600000380000004"/>
    <n v="6.9600000380000004"/>
    <n v="0"/>
    <n v="0.14000000100000001"/>
    <n v="0.560000002"/>
    <n v="6.25"/>
    <n v="0"/>
    <n v="2"/>
    <n v="14"/>
    <n v="374"/>
    <n v="490"/>
    <n v="390"/>
    <n v="880"/>
    <x v="0"/>
    <n v="2345"/>
  </r>
  <r>
    <n v="4319703577"/>
    <d v="2016-05-10T00:00:00"/>
    <s v="Tuesday"/>
    <x v="0"/>
    <n v="9487"/>
    <n v="6.3699998860000004"/>
    <n v="6.3699998860000004"/>
    <n v="0"/>
    <n v="0.209999993"/>
    <n v="0.46000000800000002"/>
    <n v="5.6999998090000004"/>
    <n v="0"/>
    <n v="3"/>
    <n v="12"/>
    <n v="329"/>
    <n v="555"/>
    <n v="344"/>
    <n v="899"/>
    <x v="1"/>
    <n v="2260"/>
  </r>
  <r>
    <n v="4319703577"/>
    <d v="2016-05-11T00:00:00"/>
    <s v="Wednesday"/>
    <x v="0"/>
    <n v="9129"/>
    <n v="6.1300001139999996"/>
    <n v="6.1300001139999996"/>
    <n v="0"/>
    <n v="0.20000000300000001"/>
    <n v="0.74000001000000004"/>
    <n v="5.1799998279999997"/>
    <n v="0"/>
    <n v="3"/>
    <n v="18"/>
    <n v="311"/>
    <n v="574"/>
    <n v="332"/>
    <n v="906"/>
    <x v="1"/>
    <n v="2232"/>
  </r>
  <r>
    <n v="4388161847"/>
    <d v="2016-04-13T00:00:00"/>
    <s v="Wednesday"/>
    <x v="0"/>
    <n v="10993"/>
    <n v="8.4499998089999995"/>
    <n v="8.4499998089999995"/>
    <n v="0"/>
    <n v="5.9999998999999998E-2"/>
    <n v="0.62999999500000003"/>
    <n v="3.880000114"/>
    <n v="0"/>
    <n v="1"/>
    <n v="14"/>
    <n v="150"/>
    <n v="1275"/>
    <n v="165"/>
    <n v="1440"/>
    <x v="0"/>
    <n v="3092"/>
  </r>
  <r>
    <n v="4388161847"/>
    <d v="2016-04-14T00:00:00"/>
    <s v="Thursday"/>
    <x v="0"/>
    <n v="8863"/>
    <n v="6.8200001720000003"/>
    <n v="6.8200001720000003"/>
    <n v="0"/>
    <n v="0.12999999500000001"/>
    <n v="1.0700000519999999"/>
    <n v="5.6199998860000004"/>
    <n v="0"/>
    <n v="10"/>
    <n v="35"/>
    <n v="219"/>
    <n v="945"/>
    <n v="264"/>
    <n v="1209"/>
    <x v="1"/>
    <n v="2998"/>
  </r>
  <r>
    <n v="4388161847"/>
    <d v="2016-04-15T00:00:00"/>
    <s v="Friday"/>
    <x v="0"/>
    <n v="8758"/>
    <n v="6.7300000190000002"/>
    <n v="6.7300000190000002"/>
    <n v="0"/>
    <n v="0"/>
    <n v="0"/>
    <n v="6.7300000190000002"/>
    <n v="0"/>
    <n v="0"/>
    <n v="0"/>
    <n v="299"/>
    <n v="837"/>
    <n v="299"/>
    <n v="1136"/>
    <x v="1"/>
    <n v="3066"/>
  </r>
  <r>
    <n v="4388161847"/>
    <d v="2016-04-16T00:00:00"/>
    <s v="Saturday"/>
    <x v="1"/>
    <n v="6580"/>
    <n v="5.0599999430000002"/>
    <n v="5.0599999430000002"/>
    <n v="0"/>
    <n v="0.209999993"/>
    <n v="0.40000000600000002"/>
    <n v="4.4499998090000004"/>
    <n v="0"/>
    <n v="6"/>
    <n v="9"/>
    <n v="253"/>
    <n v="609"/>
    <n v="268"/>
    <n v="877"/>
    <x v="3"/>
    <n v="3073"/>
  </r>
  <r>
    <n v="4388161847"/>
    <d v="2016-04-17T00:00:00"/>
    <s v="Sunday"/>
    <x v="1"/>
    <n v="4660"/>
    <n v="3.579999924"/>
    <n v="3.579999924"/>
    <n v="0"/>
    <n v="0"/>
    <n v="0"/>
    <n v="3.579999924"/>
    <n v="0"/>
    <n v="0"/>
    <n v="0"/>
    <n v="201"/>
    <n v="721"/>
    <n v="201"/>
    <n v="922"/>
    <x v="2"/>
    <n v="2572"/>
  </r>
  <r>
    <n v="4388161847"/>
    <d v="2016-04-18T00:00:00"/>
    <s v="Monday"/>
    <x v="0"/>
    <n v="11009"/>
    <n v="9.1000003809999992"/>
    <n v="9.1000003809999992"/>
    <n v="0"/>
    <n v="3.5599999430000002"/>
    <n v="0.40000000600000002"/>
    <n v="5.1399998660000001"/>
    <n v="0"/>
    <n v="27"/>
    <n v="8"/>
    <n v="239"/>
    <n v="1017"/>
    <n v="274"/>
    <n v="1291"/>
    <x v="0"/>
    <n v="3274"/>
  </r>
  <r>
    <n v="4388161847"/>
    <d v="2016-04-19T00:00:00"/>
    <s v="Tuesday"/>
    <x v="0"/>
    <n v="10181"/>
    <n v="7.829999924"/>
    <n v="7.829999924"/>
    <n v="0"/>
    <n v="1.3700000050000001"/>
    <n v="0.689999998"/>
    <n v="5.7699999809999998"/>
    <n v="0"/>
    <n v="20"/>
    <n v="16"/>
    <n v="249"/>
    <n v="704"/>
    <n v="285"/>
    <n v="989"/>
    <x v="0"/>
    <n v="3015"/>
  </r>
  <r>
    <n v="4388161847"/>
    <d v="2016-04-20T00:00:00"/>
    <s v="Wednesday"/>
    <x v="0"/>
    <n v="10553"/>
    <n v="8.1199998860000004"/>
    <n v="8.1199998860000004"/>
    <n v="0"/>
    <n v="1.1000000240000001"/>
    <n v="1.7200000289999999"/>
    <n v="5.2899999619999996"/>
    <n v="0"/>
    <n v="19"/>
    <n v="42"/>
    <n v="228"/>
    <n v="696"/>
    <n v="289"/>
    <n v="985"/>
    <x v="0"/>
    <n v="3083"/>
  </r>
  <r>
    <n v="4388161847"/>
    <d v="2016-04-21T00:00:00"/>
    <s v="Thursday"/>
    <x v="0"/>
    <n v="10055"/>
    <n v="7.7300000190000002"/>
    <n v="7.7300000190000002"/>
    <n v="0"/>
    <n v="0.37000000500000002"/>
    <n v="0.38999998600000002"/>
    <n v="6.9800000190000002"/>
    <n v="0"/>
    <n v="7"/>
    <n v="12"/>
    <n v="272"/>
    <n v="853"/>
    <n v="291"/>
    <n v="1144"/>
    <x v="0"/>
    <n v="3069"/>
  </r>
  <r>
    <n v="4388161847"/>
    <d v="2016-04-22T00:00:00"/>
    <s v="Friday"/>
    <x v="0"/>
    <n v="12139"/>
    <n v="9.3400001530000001"/>
    <n v="9.3400001530000001"/>
    <n v="0"/>
    <n v="3.2999999519999998"/>
    <n v="1.1100000139999999"/>
    <n v="4.920000076"/>
    <n v="0"/>
    <n v="77"/>
    <n v="25"/>
    <n v="220"/>
    <n v="945"/>
    <n v="322"/>
    <n v="1267"/>
    <x v="0"/>
    <n v="3544"/>
  </r>
  <r>
    <n v="4388161847"/>
    <d v="2016-04-23T00:00:00"/>
    <s v="Saturday"/>
    <x v="1"/>
    <n v="13236"/>
    <n v="10.18000031"/>
    <n v="10.18000031"/>
    <n v="0"/>
    <n v="4.5"/>
    <n v="0.31999999299999998"/>
    <n v="5.3499999049999998"/>
    <n v="0"/>
    <n v="58"/>
    <n v="5"/>
    <n v="215"/>
    <n v="749"/>
    <n v="278"/>
    <n v="1027"/>
    <x v="0"/>
    <n v="3306"/>
  </r>
  <r>
    <n v="4388161847"/>
    <d v="2016-04-24T00:00:00"/>
    <s v="Sunday"/>
    <x v="1"/>
    <n v="10243"/>
    <n v="7.8800001139999996"/>
    <n v="7.8800001139999996"/>
    <n v="0"/>
    <n v="1.0800000430000001"/>
    <n v="0.50999998999999996"/>
    <n v="6.3000001909999996"/>
    <n v="0"/>
    <n v="14"/>
    <n v="8"/>
    <n v="239"/>
    <n v="584"/>
    <n v="261"/>
    <n v="845"/>
    <x v="0"/>
    <n v="2885"/>
  </r>
  <r>
    <n v="4388161847"/>
    <d v="2016-04-25T00:00:00"/>
    <s v="Monday"/>
    <x v="0"/>
    <n v="12961"/>
    <n v="9.9700002669999996"/>
    <n v="9.9700002669999996"/>
    <n v="0"/>
    <n v="0.730000019"/>
    <n v="1.3999999759999999"/>
    <n v="7.8400001530000001"/>
    <n v="0"/>
    <n v="11"/>
    <n v="31"/>
    <n v="301"/>
    <n v="1054"/>
    <n v="343"/>
    <n v="1397"/>
    <x v="0"/>
    <n v="3288"/>
  </r>
  <r>
    <n v="4388161847"/>
    <d v="2016-04-26T00:00:00"/>
    <s v="Tuesday"/>
    <x v="0"/>
    <n v="9461"/>
    <n v="7.2800002099999999"/>
    <n v="7.2800002099999999"/>
    <n v="0"/>
    <n v="0.939999998"/>
    <n v="1.059999943"/>
    <n v="5.2699999809999998"/>
    <n v="0"/>
    <n v="14"/>
    <n v="23"/>
    <n v="224"/>
    <n v="673"/>
    <n v="261"/>
    <n v="934"/>
    <x v="1"/>
    <n v="2929"/>
  </r>
  <r>
    <n v="4388161847"/>
    <d v="2016-04-27T00:00:00"/>
    <s v="Wednesday"/>
    <x v="0"/>
    <n v="11193"/>
    <n v="8.6099996569999995"/>
    <n v="8.6099996569999995"/>
    <n v="0"/>
    <n v="0.69999998799999996"/>
    <n v="2.5099999899999998"/>
    <n v="5.3899998660000001"/>
    <n v="0"/>
    <n v="11"/>
    <n v="48"/>
    <n v="241"/>
    <n v="684"/>
    <n v="300"/>
    <n v="984"/>
    <x v="0"/>
    <n v="3074"/>
  </r>
  <r>
    <n v="4388161847"/>
    <d v="2016-04-28T00:00:00"/>
    <s v="Thursday"/>
    <x v="0"/>
    <n v="10074"/>
    <n v="7.75"/>
    <n v="7.75"/>
    <n v="0"/>
    <n v="1.289999962"/>
    <n v="0.43000000700000002"/>
    <n v="6.0300002099999999"/>
    <n v="0"/>
    <n v="19"/>
    <n v="9"/>
    <n v="234"/>
    <n v="878"/>
    <n v="262"/>
    <n v="1140"/>
    <x v="0"/>
    <n v="2969"/>
  </r>
  <r>
    <n v="4388161847"/>
    <d v="2016-04-29T00:00:00"/>
    <s v="Friday"/>
    <x v="0"/>
    <n v="9232"/>
    <n v="7.0999999049999998"/>
    <n v="7.0999999049999998"/>
    <n v="0"/>
    <n v="0.80000001200000004"/>
    <n v="0.88999998599999997"/>
    <n v="5.420000076"/>
    <n v="0"/>
    <n v="13"/>
    <n v="16"/>
    <n v="236"/>
    <n v="1175"/>
    <n v="265"/>
    <n v="1440"/>
    <x v="1"/>
    <n v="2979"/>
  </r>
  <r>
    <n v="4388161847"/>
    <d v="2016-04-30T00:00:00"/>
    <s v="Saturday"/>
    <x v="1"/>
    <n v="12533"/>
    <n v="9.6400003430000005"/>
    <n v="9.6400003430000005"/>
    <n v="0"/>
    <n v="0.69999998799999996"/>
    <n v="2"/>
    <n v="6.9400000569999998"/>
    <n v="0"/>
    <n v="14"/>
    <n v="43"/>
    <n v="300"/>
    <n v="537"/>
    <n v="357"/>
    <n v="894"/>
    <x v="0"/>
    <n v="3283"/>
  </r>
  <r>
    <n v="4388161847"/>
    <d v="2016-05-01T00:00:00"/>
    <s v="Sunday"/>
    <x v="1"/>
    <n v="10255"/>
    <n v="7.8899998660000001"/>
    <n v="7.8899998660000001"/>
    <n v="0"/>
    <n v="1.0099999900000001"/>
    <n v="0.68000000699999996"/>
    <n v="6.1999998090000004"/>
    <n v="0"/>
    <n v="12"/>
    <n v="15"/>
    <n v="241"/>
    <n v="579"/>
    <n v="268"/>
    <n v="847"/>
    <x v="0"/>
    <n v="2926"/>
  </r>
  <r>
    <n v="4388161847"/>
    <d v="2016-05-02T00:00:00"/>
    <s v="Monday"/>
    <x v="0"/>
    <n v="10096"/>
    <n v="8.3999996190000008"/>
    <n v="8.3999996190000008"/>
    <n v="0"/>
    <n v="3.7699999809999998"/>
    <n v="7.9999998000000003E-2"/>
    <n v="4.5500001909999996"/>
    <n v="0"/>
    <n v="33"/>
    <n v="4"/>
    <n v="204"/>
    <n v="935"/>
    <n v="241"/>
    <n v="1176"/>
    <x v="0"/>
    <n v="3147"/>
  </r>
  <r>
    <n v="4388161847"/>
    <d v="2016-05-03T00:00:00"/>
    <s v="Tuesday"/>
    <x v="0"/>
    <n v="12727"/>
    <n v="9.7899999619999996"/>
    <n v="9.7899999619999996"/>
    <n v="0"/>
    <n v="1.1299999949999999"/>
    <n v="0.77999997099999996"/>
    <n v="7.8800001139999996"/>
    <n v="0"/>
    <n v="18"/>
    <n v="18"/>
    <n v="306"/>
    <n v="984"/>
    <n v="342"/>
    <n v="1326"/>
    <x v="0"/>
    <n v="3290"/>
  </r>
  <r>
    <n v="4388161847"/>
    <d v="2016-05-04T00:00:00"/>
    <s v="Wednesday"/>
    <x v="0"/>
    <n v="12375"/>
    <n v="9.5200004580000002"/>
    <n v="9.5200004580000002"/>
    <n v="0"/>
    <n v="2.789999962"/>
    <n v="0.93000000699999996"/>
    <n v="5.8000001909999996"/>
    <n v="0"/>
    <n v="35"/>
    <n v="21"/>
    <n v="251"/>
    <n v="632"/>
    <n v="307"/>
    <n v="939"/>
    <x v="0"/>
    <n v="3162"/>
  </r>
  <r>
    <n v="4388161847"/>
    <d v="2016-05-05T00:00:00"/>
    <s v="Thursday"/>
    <x v="0"/>
    <n v="9603"/>
    <n v="7.3800001139999996"/>
    <n v="7.3800001139999996"/>
    <n v="0"/>
    <n v="0.62999999500000003"/>
    <n v="1.6699999569999999"/>
    <n v="5.0900001530000001"/>
    <n v="0"/>
    <n v="12"/>
    <n v="39"/>
    <n v="199"/>
    <n v="896"/>
    <n v="250"/>
    <n v="1146"/>
    <x v="1"/>
    <n v="2899"/>
  </r>
  <r>
    <n v="4388161847"/>
    <d v="2016-05-06T00:00:00"/>
    <s v="Friday"/>
    <x v="0"/>
    <n v="13175"/>
    <n v="10.130000109999999"/>
    <n v="10.130000109999999"/>
    <n v="0"/>
    <n v="2.1099998950000001"/>
    <n v="2.0899999139999998"/>
    <n v="5.9299998279999997"/>
    <n v="0"/>
    <n v="33"/>
    <n v="45"/>
    <n v="262"/>
    <n v="1100"/>
    <n v="340"/>
    <n v="1440"/>
    <x v="0"/>
    <n v="3425"/>
  </r>
  <r>
    <n v="4388161847"/>
    <d v="2016-05-07T00:00:00"/>
    <s v="Saturday"/>
    <x v="1"/>
    <n v="22770"/>
    <n v="17.540000920000001"/>
    <n v="17.540000920000001"/>
    <n v="0"/>
    <n v="9.4499998089999995"/>
    <n v="2.7699999809999998"/>
    <n v="5.329999924"/>
    <n v="0"/>
    <n v="120"/>
    <n v="56"/>
    <n v="260"/>
    <n v="508"/>
    <n v="436"/>
    <n v="944"/>
    <x v="0"/>
    <n v="4022"/>
  </r>
  <r>
    <n v="4388161847"/>
    <d v="2016-05-08T00:00:00"/>
    <s v="Sunday"/>
    <x v="1"/>
    <n v="17298"/>
    <n v="14.380000109999999"/>
    <n v="14.380000109999999"/>
    <n v="0"/>
    <n v="9.8900003430000005"/>
    <n v="1.2599999900000001"/>
    <n v="3.2300000190000002"/>
    <n v="0"/>
    <n v="107"/>
    <n v="38"/>
    <n v="178"/>
    <n v="576"/>
    <n v="323"/>
    <n v="899"/>
    <x v="0"/>
    <n v="3934"/>
  </r>
  <r>
    <n v="4388161847"/>
    <d v="2016-05-09T00:00:00"/>
    <s v="Monday"/>
    <x v="0"/>
    <n v="10218"/>
    <n v="7.8600001339999999"/>
    <n v="7.8600001339999999"/>
    <n v="0"/>
    <n v="0.34000000400000002"/>
    <n v="0.730000019"/>
    <n v="6.7899999619999996"/>
    <n v="0"/>
    <n v="6"/>
    <n v="19"/>
    <n v="258"/>
    <n v="1020"/>
    <n v="283"/>
    <n v="1303"/>
    <x v="0"/>
    <n v="3013"/>
  </r>
  <r>
    <n v="4388161847"/>
    <d v="2016-05-10T00:00:00"/>
    <s v="Tuesday"/>
    <x v="0"/>
    <n v="10299"/>
    <n v="7.920000076"/>
    <n v="7.920000076"/>
    <n v="0"/>
    <n v="0.810000002"/>
    <n v="0.64999997600000003"/>
    <n v="6.4600000380000004"/>
    <n v="0"/>
    <n v="13"/>
    <n v="14"/>
    <n v="267"/>
    <n v="648"/>
    <n v="294"/>
    <n v="942"/>
    <x v="0"/>
    <n v="3061"/>
  </r>
  <r>
    <n v="4388161847"/>
    <d v="2016-05-11T00:00:00"/>
    <s v="Wednesday"/>
    <x v="0"/>
    <n v="10201"/>
    <n v="7.8400001530000001"/>
    <n v="7.8400001530000001"/>
    <n v="0"/>
    <n v="0.52999997099999996"/>
    <n v="0.790000021"/>
    <n v="6.5300002099999999"/>
    <n v="0"/>
    <n v="8"/>
    <n v="18"/>
    <n v="256"/>
    <n v="858"/>
    <n v="282"/>
    <n v="1140"/>
    <x v="0"/>
    <n v="2954"/>
  </r>
  <r>
    <n v="4388161847"/>
    <d v="2016-05-12T00:00:00"/>
    <s v="Thursday"/>
    <x v="0"/>
    <n v="3369"/>
    <n v="2.5899999139999998"/>
    <n v="2.5899999139999998"/>
    <n v="0"/>
    <n v="0"/>
    <n v="0"/>
    <n v="2.5899999139999998"/>
    <n v="0"/>
    <n v="0"/>
    <n v="0"/>
    <n v="108"/>
    <n v="825"/>
    <n v="108"/>
    <n v="933"/>
    <x v="2"/>
    <n v="1623"/>
  </r>
  <r>
    <n v="4445114986"/>
    <d v="2016-03-29T00:00:00"/>
    <s v="Tuesday"/>
    <x v="0"/>
    <n v="2303"/>
    <n v="1.5499999520000001"/>
    <n v="1.5499999520000001"/>
    <n v="0"/>
    <n v="0"/>
    <n v="0"/>
    <n v="1.5499999520000001"/>
    <n v="0"/>
    <n v="0"/>
    <n v="0"/>
    <n v="155"/>
    <n v="807"/>
    <n v="155"/>
    <n v="962"/>
    <x v="2"/>
    <n v="2010"/>
  </r>
  <r>
    <n v="4445114986"/>
    <d v="2016-03-30T00:00:00"/>
    <s v="Wednesday"/>
    <x v="0"/>
    <n v="2600"/>
    <n v="1.7400000099999999"/>
    <n v="1.7400000099999999"/>
    <n v="0"/>
    <n v="0"/>
    <n v="0"/>
    <n v="1.7400000099999999"/>
    <n v="0"/>
    <n v="0"/>
    <n v="0"/>
    <n v="163"/>
    <n v="1277"/>
    <n v="163"/>
    <n v="1440"/>
    <x v="2"/>
    <n v="2032"/>
  </r>
  <r>
    <n v="4445114986"/>
    <d v="2016-03-31T00:00:00"/>
    <s v="Thursday"/>
    <x v="0"/>
    <n v="4804"/>
    <n v="3.2200000289999999"/>
    <n v="3.2200000289999999"/>
    <n v="0"/>
    <n v="0"/>
    <n v="0"/>
    <n v="3.2200000289999999"/>
    <n v="0"/>
    <n v="0"/>
    <n v="0"/>
    <n v="238"/>
    <n v="786"/>
    <n v="238"/>
    <n v="1024"/>
    <x v="2"/>
    <n v="2227"/>
  </r>
  <r>
    <n v="4445114986"/>
    <d v="2016-04-01T00:00:00"/>
    <s v="Friday"/>
    <x v="0"/>
    <n v="3271"/>
    <n v="2.1900000569999998"/>
    <n v="2.1900000569999998"/>
    <n v="0"/>
    <n v="0"/>
    <n v="0"/>
    <n v="2.1900000569999998"/>
    <n v="0"/>
    <n v="0"/>
    <n v="0"/>
    <n v="205"/>
    <n v="898"/>
    <n v="205"/>
    <n v="1103"/>
    <x v="2"/>
    <n v="2133"/>
  </r>
  <r>
    <n v="4445114986"/>
    <d v="2016-04-02T00:00:00"/>
    <s v="Saturday"/>
    <x v="1"/>
    <n v="5406"/>
    <n v="3.630000114"/>
    <n v="3.630000114"/>
    <n v="0"/>
    <n v="0"/>
    <n v="0"/>
    <n v="3.6099998950000001"/>
    <n v="0"/>
    <n v="0"/>
    <n v="0"/>
    <n v="273"/>
    <n v="672"/>
    <n v="273"/>
    <n v="945"/>
    <x v="3"/>
    <n v="2317"/>
  </r>
  <r>
    <n v="4445114986"/>
    <d v="2016-04-03T00:00:00"/>
    <s v="Sunday"/>
    <x v="1"/>
    <n v="3146"/>
    <n v="2.1099998950000001"/>
    <n v="2.1099998950000001"/>
    <n v="0"/>
    <n v="0"/>
    <n v="0"/>
    <n v="2.1099998950000001"/>
    <n v="0"/>
    <n v="0"/>
    <n v="0"/>
    <n v="171"/>
    <n v="1269"/>
    <n v="171"/>
    <n v="1440"/>
    <x v="2"/>
    <n v="2058"/>
  </r>
  <r>
    <n v="4445114986"/>
    <d v="2016-04-04T00:00:00"/>
    <s v="Monday"/>
    <x v="0"/>
    <n v="2422"/>
    <n v="1.6299999949999999"/>
    <n v="1.6299999949999999"/>
    <n v="0"/>
    <n v="0"/>
    <n v="0"/>
    <n v="1.6299999949999999"/>
    <n v="0"/>
    <n v="0"/>
    <n v="0"/>
    <n v="110"/>
    <n v="1330"/>
    <n v="110"/>
    <n v="1440"/>
    <x v="2"/>
    <n v="1935"/>
  </r>
  <r>
    <n v="4445114986"/>
    <d v="2016-04-05T00:00:00"/>
    <s v="Tuesday"/>
    <x v="0"/>
    <n v="4239"/>
    <n v="2.8399999139999998"/>
    <n v="2.8399999139999998"/>
    <n v="0"/>
    <n v="5.9999998999999998E-2"/>
    <n v="0.23999999499999999"/>
    <n v="2.5299999710000001"/>
    <n v="0"/>
    <n v="1"/>
    <n v="6"/>
    <n v="235"/>
    <n v="702"/>
    <n v="242"/>
    <n v="944"/>
    <x v="2"/>
    <n v="2217"/>
  </r>
  <r>
    <n v="4445114986"/>
    <d v="2016-04-06T00:00:00"/>
    <s v="Wednesday"/>
    <x v="0"/>
    <n v="6911"/>
    <n v="4.7800002099999999"/>
    <n v="4.7800002099999999"/>
    <n v="0"/>
    <n v="2.3199999330000001"/>
    <n v="0.10000000100000001"/>
    <n v="2.3599998950000001"/>
    <n v="0"/>
    <n v="28"/>
    <n v="2"/>
    <n v="215"/>
    <n v="745"/>
    <n v="245"/>
    <n v="990"/>
    <x v="3"/>
    <n v="2374"/>
  </r>
  <r>
    <n v="4445114986"/>
    <d v="2016-04-07T00:00:00"/>
    <s v="Thursday"/>
    <x v="0"/>
    <n v="6667"/>
    <n v="4.6100001339999999"/>
    <n v="4.6100001339999999"/>
    <n v="0"/>
    <n v="2.0199999809999998"/>
    <n v="5.0000001000000002E-2"/>
    <n v="2.5499999519999998"/>
    <n v="0"/>
    <n v="24"/>
    <n v="1"/>
    <n v="208"/>
    <n v="939"/>
    <n v="233"/>
    <n v="1172"/>
    <x v="3"/>
    <n v="2335"/>
  </r>
  <r>
    <n v="4445114986"/>
    <d v="2016-04-08T00:00:00"/>
    <s v="Friday"/>
    <x v="0"/>
    <n v="5543"/>
    <n v="3.7200000289999999"/>
    <n v="3.7200000289999999"/>
    <n v="0"/>
    <n v="0"/>
    <n v="0"/>
    <n v="3.7200000289999999"/>
    <n v="0"/>
    <n v="0"/>
    <n v="0"/>
    <n v="266"/>
    <n v="941"/>
    <n v="266"/>
    <n v="1207"/>
    <x v="3"/>
    <n v="2303"/>
  </r>
  <r>
    <n v="4445114986"/>
    <d v="2016-04-09T00:00:00"/>
    <s v="Saturday"/>
    <x v="1"/>
    <n v="4195"/>
    <n v="2.8099999430000002"/>
    <n v="2.8099999430000002"/>
    <n v="0"/>
    <n v="0"/>
    <n v="0"/>
    <n v="2.8099999430000002"/>
    <n v="0"/>
    <n v="0"/>
    <n v="0"/>
    <n v="239"/>
    <n v="758"/>
    <n v="239"/>
    <n v="997"/>
    <x v="2"/>
    <n v="2210"/>
  </r>
  <r>
    <n v="4445114986"/>
    <d v="2016-04-10T00:00:00"/>
    <s v="Sunday"/>
    <x v="1"/>
    <n v="6625"/>
    <n v="4.4499998090000004"/>
    <n v="4.4499998090000004"/>
    <n v="0"/>
    <n v="0"/>
    <n v="0"/>
    <n v="4.4499998090000004"/>
    <n v="0"/>
    <n v="0"/>
    <n v="0"/>
    <n v="316"/>
    <n v="755"/>
    <n v="316"/>
    <n v="1071"/>
    <x v="3"/>
    <n v="2424"/>
  </r>
  <r>
    <n v="4445114986"/>
    <d v="2016-04-11T00:00:00"/>
    <s v="Monday"/>
    <x v="0"/>
    <n v="5986"/>
    <n v="4.1300001139999996"/>
    <n v="4.1300001139999996"/>
    <n v="0"/>
    <n v="1.9500000479999999"/>
    <n v="0.23000000400000001"/>
    <n v="1.9500000479999999"/>
    <n v="0"/>
    <n v="23"/>
    <n v="5"/>
    <n v="195"/>
    <n v="789"/>
    <n v="223"/>
    <n v="1012"/>
    <x v="3"/>
    <n v="2297"/>
  </r>
  <r>
    <n v="4445114986"/>
    <d v="2016-04-13T00:00:00"/>
    <s v="Wednesday"/>
    <x v="0"/>
    <n v="2961"/>
    <n v="1.9900000099999999"/>
    <n v="1.9900000099999999"/>
    <n v="0"/>
    <n v="0"/>
    <n v="0"/>
    <n v="1.9900000099999999"/>
    <n v="0"/>
    <n v="0"/>
    <n v="0"/>
    <n v="194"/>
    <n v="840"/>
    <n v="194"/>
    <n v="1034"/>
    <x v="2"/>
    <n v="2095"/>
  </r>
  <r>
    <n v="4445114986"/>
    <d v="2016-04-14T00:00:00"/>
    <s v="Thursday"/>
    <x v="0"/>
    <n v="3974"/>
    <n v="2.670000076"/>
    <n v="2.670000076"/>
    <n v="0"/>
    <n v="0"/>
    <n v="0"/>
    <n v="2.670000076"/>
    <n v="0"/>
    <n v="0"/>
    <n v="0"/>
    <n v="231"/>
    <n v="717"/>
    <n v="231"/>
    <n v="948"/>
    <x v="2"/>
    <n v="2194"/>
  </r>
  <r>
    <n v="4445114986"/>
    <d v="2016-04-15T00:00:00"/>
    <s v="Friday"/>
    <x v="0"/>
    <n v="7198"/>
    <n v="4.829999924"/>
    <n v="4.829999924"/>
    <n v="0"/>
    <n v="0"/>
    <n v="0"/>
    <n v="4.829999924"/>
    <n v="0"/>
    <n v="0"/>
    <n v="0"/>
    <n v="350"/>
    <n v="711"/>
    <n v="350"/>
    <n v="1061"/>
    <x v="3"/>
    <n v="2496"/>
  </r>
  <r>
    <n v="4445114986"/>
    <d v="2016-04-16T00:00:00"/>
    <s v="Saturday"/>
    <x v="1"/>
    <n v="3945"/>
    <n v="2.6500000950000002"/>
    <n v="2.6500000950000002"/>
    <n v="0"/>
    <n v="0"/>
    <n v="0"/>
    <n v="2.6500000950000002"/>
    <n v="0"/>
    <n v="0"/>
    <n v="0"/>
    <n v="225"/>
    <n v="716"/>
    <n v="225"/>
    <n v="941"/>
    <x v="2"/>
    <n v="2180"/>
  </r>
  <r>
    <n v="4445114986"/>
    <d v="2016-04-17T00:00:00"/>
    <s v="Sunday"/>
    <x v="1"/>
    <n v="2268"/>
    <n v="1.519999981"/>
    <n v="1.519999981"/>
    <n v="0"/>
    <n v="0"/>
    <n v="0"/>
    <n v="1.519999981"/>
    <n v="0"/>
    <n v="0"/>
    <n v="0"/>
    <n v="114"/>
    <n v="1219"/>
    <n v="114"/>
    <n v="1333"/>
    <x v="2"/>
    <n v="1933"/>
  </r>
  <r>
    <n v="4445114986"/>
    <d v="2016-04-18T00:00:00"/>
    <s v="Monday"/>
    <x v="0"/>
    <n v="6155"/>
    <n v="4.2399997709999999"/>
    <n v="4.2399997709999999"/>
    <n v="0"/>
    <n v="2"/>
    <n v="0.28999999199999998"/>
    <n v="1.9500000479999999"/>
    <n v="0"/>
    <n v="25"/>
    <n v="6"/>
    <n v="162"/>
    <n v="1247"/>
    <n v="193"/>
    <n v="1440"/>
    <x v="3"/>
    <n v="2248"/>
  </r>
  <r>
    <n v="4445114986"/>
    <d v="2016-04-19T00:00:00"/>
    <s v="Tuesday"/>
    <x v="0"/>
    <n v="2064"/>
    <n v="1.3899999860000001"/>
    <n v="1.3899999860000001"/>
    <n v="0"/>
    <n v="0"/>
    <n v="0"/>
    <n v="1.3899999860000001"/>
    <n v="0"/>
    <n v="0"/>
    <n v="0"/>
    <n v="121"/>
    <n v="895"/>
    <n v="121"/>
    <n v="1016"/>
    <x v="2"/>
    <n v="1954"/>
  </r>
  <r>
    <n v="4445114986"/>
    <d v="2016-04-20T00:00:00"/>
    <s v="Wednesday"/>
    <x v="0"/>
    <n v="2072"/>
    <n v="1.3899999860000001"/>
    <n v="1.3899999860000001"/>
    <n v="0"/>
    <n v="0"/>
    <n v="0"/>
    <n v="1.3899999860000001"/>
    <n v="0"/>
    <n v="0"/>
    <n v="0"/>
    <n v="137"/>
    <n v="841"/>
    <n v="137"/>
    <n v="978"/>
    <x v="2"/>
    <n v="1974"/>
  </r>
  <r>
    <n v="4445114986"/>
    <d v="2016-04-21T00:00:00"/>
    <s v="Thursday"/>
    <x v="0"/>
    <n v="3809"/>
    <n v="2.5599999430000002"/>
    <n v="2.5599999430000002"/>
    <n v="0"/>
    <n v="0"/>
    <n v="0"/>
    <n v="2.539999962"/>
    <n v="0"/>
    <n v="0"/>
    <n v="0"/>
    <n v="215"/>
    <n v="756"/>
    <n v="215"/>
    <n v="971"/>
    <x v="2"/>
    <n v="2150"/>
  </r>
  <r>
    <n v="4445114986"/>
    <d v="2016-04-22T00:00:00"/>
    <s v="Friday"/>
    <x v="0"/>
    <n v="6831"/>
    <n v="4.579999924"/>
    <n v="4.579999924"/>
    <n v="0"/>
    <n v="0"/>
    <n v="0"/>
    <n v="4.579999924"/>
    <n v="0"/>
    <n v="0"/>
    <n v="0"/>
    <n v="317"/>
    <n v="706"/>
    <n v="317"/>
    <n v="1023"/>
    <x v="3"/>
    <n v="2432"/>
  </r>
  <r>
    <n v="4445114986"/>
    <d v="2016-04-23T00:00:00"/>
    <s v="Saturday"/>
    <x v="1"/>
    <n v="4363"/>
    <n v="2.9300000669999999"/>
    <n v="2.9300000669999999"/>
    <n v="0"/>
    <n v="0"/>
    <n v="0"/>
    <n v="2.9300000669999999"/>
    <n v="0"/>
    <n v="0"/>
    <n v="0"/>
    <n v="201"/>
    <n v="1239"/>
    <n v="201"/>
    <n v="1440"/>
    <x v="2"/>
    <n v="2149"/>
  </r>
  <r>
    <n v="4445114986"/>
    <d v="2016-04-24T00:00:00"/>
    <s v="Sunday"/>
    <x v="1"/>
    <n v="5002"/>
    <n v="3.3599998950000001"/>
    <n v="3.3599998950000001"/>
    <n v="0"/>
    <n v="0"/>
    <n v="0"/>
    <n v="3.3599998950000001"/>
    <n v="0"/>
    <n v="0"/>
    <n v="0"/>
    <n v="244"/>
    <n v="1196"/>
    <n v="244"/>
    <n v="1440"/>
    <x v="3"/>
    <n v="2247"/>
  </r>
  <r>
    <n v="4445114986"/>
    <d v="2016-04-25T00:00:00"/>
    <s v="Monday"/>
    <x v="0"/>
    <n v="3385"/>
    <n v="2.2699999809999998"/>
    <n v="2.2699999809999998"/>
    <n v="0"/>
    <n v="0"/>
    <n v="0"/>
    <n v="2.2699999809999998"/>
    <n v="0"/>
    <n v="0"/>
    <n v="0"/>
    <n v="179"/>
    <n v="916"/>
    <n v="179"/>
    <n v="1095"/>
    <x v="2"/>
    <n v="2070"/>
  </r>
  <r>
    <n v="4445114986"/>
    <d v="2016-04-26T00:00:00"/>
    <s v="Tuesday"/>
    <x v="0"/>
    <n v="6326"/>
    <n v="4.4099998469999999"/>
    <n v="4.4099998469999999"/>
    <n v="0"/>
    <n v="2.4100000860000002"/>
    <n v="3.9999999000000001E-2"/>
    <n v="1.960000038"/>
    <n v="0"/>
    <n v="29"/>
    <n v="1"/>
    <n v="180"/>
    <n v="839"/>
    <n v="210"/>
    <n v="1049"/>
    <x v="3"/>
    <n v="2291"/>
  </r>
  <r>
    <n v="4445114986"/>
    <d v="2016-04-27T00:00:00"/>
    <s v="Wednesday"/>
    <x v="0"/>
    <n v="7243"/>
    <n v="5.0300002099999999"/>
    <n v="5.0300002099999999"/>
    <n v="0"/>
    <n v="2.619999886"/>
    <n v="2.9999998999999999E-2"/>
    <n v="2.380000114"/>
    <n v="0"/>
    <n v="32"/>
    <n v="1"/>
    <n v="194"/>
    <n v="839"/>
    <n v="227"/>
    <n v="1066"/>
    <x v="3"/>
    <n v="2361"/>
  </r>
  <r>
    <n v="4445114986"/>
    <d v="2016-04-28T00:00:00"/>
    <s v="Thursday"/>
    <x v="0"/>
    <n v="4493"/>
    <n v="3.0099999899999998"/>
    <n v="3.0099999899999998"/>
    <n v="0"/>
    <n v="0"/>
    <n v="0"/>
    <n v="3.0099999899999998"/>
    <n v="0"/>
    <n v="0"/>
    <n v="0"/>
    <n v="236"/>
    <n v="762"/>
    <n v="236"/>
    <n v="998"/>
    <x v="2"/>
    <n v="2203"/>
  </r>
  <r>
    <n v="4445114986"/>
    <d v="2016-04-29T00:00:00"/>
    <s v="Friday"/>
    <x v="0"/>
    <n v="4676"/>
    <n v="3.1400001049999999"/>
    <n v="3.1400001049999999"/>
    <n v="0"/>
    <n v="0"/>
    <n v="0"/>
    <n v="3.130000114"/>
    <n v="0"/>
    <n v="0"/>
    <n v="0"/>
    <n v="226"/>
    <n v="1106"/>
    <n v="226"/>
    <n v="1332"/>
    <x v="2"/>
    <n v="2196"/>
  </r>
  <r>
    <n v="4445114986"/>
    <d v="2016-04-30T00:00:00"/>
    <s v="Saturday"/>
    <x v="1"/>
    <n v="6222"/>
    <n v="4.1799998279999997"/>
    <n v="4.1799998279999997"/>
    <n v="0"/>
    <n v="0"/>
    <n v="0"/>
    <n v="4.1799998279999997"/>
    <n v="0"/>
    <n v="0"/>
    <n v="0"/>
    <n v="290"/>
    <n v="797"/>
    <n v="290"/>
    <n v="1087"/>
    <x v="3"/>
    <n v="2363"/>
  </r>
  <r>
    <n v="4445114986"/>
    <d v="2016-05-01T00:00:00"/>
    <s v="Sunday"/>
    <x v="1"/>
    <n v="5232"/>
    <n v="3.5099999899999998"/>
    <n v="3.5099999899999998"/>
    <n v="0"/>
    <n v="0"/>
    <n v="0"/>
    <n v="3.5099999899999998"/>
    <n v="0"/>
    <n v="0"/>
    <n v="0"/>
    <n v="240"/>
    <n v="741"/>
    <n v="240"/>
    <n v="981"/>
    <x v="3"/>
    <n v="2246"/>
  </r>
  <r>
    <n v="4445114986"/>
    <d v="2016-05-02T00:00:00"/>
    <s v="Monday"/>
    <x v="0"/>
    <n v="6910"/>
    <n v="4.75"/>
    <n v="4.75"/>
    <n v="0"/>
    <n v="2.210000038"/>
    <n v="0.189999998"/>
    <n v="2.3499999049999998"/>
    <n v="0"/>
    <n v="27"/>
    <n v="4"/>
    <n v="200"/>
    <n v="667"/>
    <n v="231"/>
    <n v="898"/>
    <x v="3"/>
    <n v="2336"/>
  </r>
  <r>
    <n v="4445114986"/>
    <d v="2016-05-03T00:00:00"/>
    <s v="Tuesday"/>
    <x v="0"/>
    <n v="7502"/>
    <n v="5.1799998279999997"/>
    <n v="5.1799998279999997"/>
    <n v="0"/>
    <n v="2.4800000190000002"/>
    <n v="0.109999999"/>
    <n v="2.579999924"/>
    <n v="0"/>
    <n v="30"/>
    <n v="2"/>
    <n v="233"/>
    <n v="725"/>
    <n v="265"/>
    <n v="990"/>
    <x v="1"/>
    <n v="2421"/>
  </r>
  <r>
    <n v="4445114986"/>
    <d v="2016-05-04T00:00:00"/>
    <s v="Wednesday"/>
    <x v="0"/>
    <n v="2923"/>
    <n v="1.960000038"/>
    <n v="1.960000038"/>
    <n v="0"/>
    <n v="0"/>
    <n v="0"/>
    <n v="1.960000038"/>
    <n v="0"/>
    <n v="0"/>
    <n v="0"/>
    <n v="180"/>
    <n v="897"/>
    <n v="180"/>
    <n v="1077"/>
    <x v="2"/>
    <n v="2070"/>
  </r>
  <r>
    <n v="4445114986"/>
    <d v="2016-05-05T00:00:00"/>
    <s v="Thursday"/>
    <x v="0"/>
    <n v="3800"/>
    <n v="2.5499999519999998"/>
    <n v="2.5499999519999998"/>
    <n v="0"/>
    <n v="0.119999997"/>
    <n v="0.23999999499999999"/>
    <n v="2.1800000669999999"/>
    <n v="0"/>
    <n v="2"/>
    <n v="6"/>
    <n v="185"/>
    <n v="734"/>
    <n v="193"/>
    <n v="927"/>
    <x v="2"/>
    <n v="2120"/>
  </r>
  <r>
    <n v="4445114986"/>
    <d v="2016-05-06T00:00:00"/>
    <s v="Friday"/>
    <x v="0"/>
    <n v="4514"/>
    <n v="3.0299999710000001"/>
    <n v="3.0299999710000001"/>
    <n v="0"/>
    <n v="0"/>
    <n v="0"/>
    <n v="3.0299999710000001"/>
    <n v="0"/>
    <n v="0"/>
    <n v="0"/>
    <n v="229"/>
    <n v="809"/>
    <n v="229"/>
    <n v="1038"/>
    <x v="2"/>
    <n v="2211"/>
  </r>
  <r>
    <n v="4445114986"/>
    <d v="2016-05-07T00:00:00"/>
    <s v="Saturday"/>
    <x v="1"/>
    <n v="5183"/>
    <n v="3.5899999139999998"/>
    <n v="3.5899999139999998"/>
    <n v="0"/>
    <n v="2.130000114"/>
    <n v="0.189999998"/>
    <n v="1.25"/>
    <n v="0"/>
    <n v="26"/>
    <n v="4"/>
    <n v="108"/>
    <n v="866"/>
    <n v="138"/>
    <n v="1004"/>
    <x v="3"/>
    <n v="2123"/>
  </r>
  <r>
    <n v="4445114986"/>
    <d v="2016-05-08T00:00:00"/>
    <s v="Sunday"/>
    <x v="1"/>
    <n v="7303"/>
    <n v="4.9000000950000002"/>
    <n v="4.9000000950000002"/>
    <n v="0"/>
    <n v="0"/>
    <n v="0.25"/>
    <n v="4.6500000950000002"/>
    <n v="0"/>
    <n v="0"/>
    <n v="8"/>
    <n v="308"/>
    <n v="733"/>
    <n v="316"/>
    <n v="1049"/>
    <x v="3"/>
    <n v="2423"/>
  </r>
  <r>
    <n v="4445114986"/>
    <d v="2016-05-09T00:00:00"/>
    <s v="Monday"/>
    <x v="0"/>
    <n v="5275"/>
    <n v="3.539999962"/>
    <n v="3.539999962"/>
    <n v="0"/>
    <n v="0"/>
    <n v="0"/>
    <n v="3.539999962"/>
    <n v="0"/>
    <n v="0"/>
    <n v="0"/>
    <n v="266"/>
    <n v="641"/>
    <n v="266"/>
    <n v="907"/>
    <x v="3"/>
    <n v="2281"/>
  </r>
  <r>
    <n v="4445114986"/>
    <d v="2016-05-10T00:00:00"/>
    <s v="Tuesday"/>
    <x v="0"/>
    <n v="3915"/>
    <n v="2.630000114"/>
    <n v="2.630000114"/>
    <n v="0"/>
    <n v="0"/>
    <n v="0"/>
    <n v="2.630000114"/>
    <n v="0"/>
    <n v="0"/>
    <n v="0"/>
    <n v="231"/>
    <n v="783"/>
    <n v="231"/>
    <n v="1014"/>
    <x v="2"/>
    <n v="2181"/>
  </r>
  <r>
    <n v="4445114986"/>
    <d v="2016-05-11T00:00:00"/>
    <s v="Wednesday"/>
    <x v="0"/>
    <n v="9105"/>
    <n v="6.1100001339999999"/>
    <n v="6.1100001339999999"/>
    <n v="0"/>
    <n v="2.25"/>
    <n v="1"/>
    <n v="2.8599998950000001"/>
    <n v="0"/>
    <n v="34"/>
    <n v="22"/>
    <n v="232"/>
    <n v="622"/>
    <n v="288"/>
    <n v="910"/>
    <x v="1"/>
    <n v="2499"/>
  </r>
  <r>
    <n v="4558609924"/>
    <d v="2016-04-01T00:00:00"/>
    <s v="Friday"/>
    <x v="0"/>
    <n v="5336"/>
    <n v="3.5299999710000001"/>
    <n v="3.5299999710000001"/>
    <n v="0"/>
    <n v="0"/>
    <n v="0"/>
    <n v="3.5299999710000001"/>
    <n v="0"/>
    <n v="0"/>
    <n v="0"/>
    <n v="258"/>
    <n v="1182"/>
    <n v="258"/>
    <n v="1440"/>
    <x v="3"/>
    <n v="1902"/>
  </r>
  <r>
    <n v="4558609924"/>
    <d v="2016-04-02T00:00:00"/>
    <s v="Saturday"/>
    <x v="1"/>
    <n v="3183"/>
    <n v="2.0999999049999998"/>
    <n v="2.0999999049999998"/>
    <n v="0"/>
    <n v="0"/>
    <n v="0"/>
    <n v="2.0999999049999998"/>
    <n v="0"/>
    <n v="0"/>
    <n v="0"/>
    <n v="173"/>
    <n v="1180"/>
    <n v="173"/>
    <n v="1353"/>
    <x v="2"/>
    <n v="1680"/>
  </r>
  <r>
    <n v="4558609924"/>
    <d v="2016-04-03T00:00:00"/>
    <s v="Sunday"/>
    <x v="1"/>
    <n v="6176"/>
    <n v="4.079999924"/>
    <n v="4.079999924"/>
    <n v="0"/>
    <n v="7.0000000000000007E-2"/>
    <n v="0.25999999000000001"/>
    <n v="3.75"/>
    <n v="0"/>
    <n v="1"/>
    <n v="7"/>
    <n v="269"/>
    <n v="886"/>
    <n v="277"/>
    <n v="1163"/>
    <x v="3"/>
    <n v="1901"/>
  </r>
  <r>
    <n v="4558609924"/>
    <d v="2016-04-04T00:00:00"/>
    <s v="Monday"/>
    <x v="0"/>
    <n v="8205"/>
    <n v="5.420000076"/>
    <n v="5.420000076"/>
    <n v="0"/>
    <n v="0"/>
    <n v="0"/>
    <n v="5.420000076"/>
    <n v="0"/>
    <n v="0"/>
    <n v="0"/>
    <n v="367"/>
    <n v="1073"/>
    <n v="367"/>
    <n v="1440"/>
    <x v="1"/>
    <n v="2078"/>
  </r>
  <r>
    <n v="4558609924"/>
    <d v="2016-04-05T00:00:00"/>
    <s v="Tuesday"/>
    <x v="0"/>
    <n v="6799"/>
    <n v="4.4899997709999999"/>
    <n v="4.4899997709999999"/>
    <n v="0"/>
    <n v="1.5900000329999999"/>
    <n v="0.86000001400000003"/>
    <n v="2.039999962"/>
    <n v="0"/>
    <n v="24"/>
    <n v="14"/>
    <n v="185"/>
    <n v="1217"/>
    <n v="223"/>
    <n v="1440"/>
    <x v="3"/>
    <n v="1876"/>
  </r>
  <r>
    <n v="4558609924"/>
    <d v="2016-04-06T00:00:00"/>
    <s v="Wednesday"/>
    <x v="0"/>
    <n v="5668"/>
    <n v="3.75"/>
    <n v="3.75"/>
    <n v="0"/>
    <n v="0"/>
    <n v="0"/>
    <n v="3.75"/>
    <n v="0"/>
    <n v="0"/>
    <n v="0"/>
    <n v="259"/>
    <n v="1181"/>
    <n v="259"/>
    <n v="1440"/>
    <x v="3"/>
    <n v="1853"/>
  </r>
  <r>
    <n v="4558609924"/>
    <d v="2016-04-07T00:00:00"/>
    <s v="Thursday"/>
    <x v="0"/>
    <n v="7998"/>
    <n v="5.2899999619999996"/>
    <n v="5.2899999619999996"/>
    <n v="0"/>
    <n v="0.50999998999999996"/>
    <n v="0.25"/>
    <n v="4.5300002099999999"/>
    <n v="0"/>
    <n v="27"/>
    <n v="12"/>
    <n v="296"/>
    <n v="1105"/>
    <n v="335"/>
    <n v="1440"/>
    <x v="1"/>
    <n v="2235"/>
  </r>
  <r>
    <n v="4558609924"/>
    <d v="2016-04-08T00:00:00"/>
    <s v="Friday"/>
    <x v="0"/>
    <n v="4195"/>
    <n v="2.7699999809999998"/>
    <n v="2.7699999809999998"/>
    <n v="0"/>
    <n v="0"/>
    <n v="0"/>
    <n v="2.7699999809999998"/>
    <n v="0"/>
    <n v="0"/>
    <n v="0"/>
    <n v="241"/>
    <n v="1199"/>
    <n v="241"/>
    <n v="1440"/>
    <x v="2"/>
    <n v="1778"/>
  </r>
  <r>
    <n v="4558609924"/>
    <d v="2016-04-09T00:00:00"/>
    <s v="Saturday"/>
    <x v="1"/>
    <n v="5512"/>
    <n v="3.6400001049999999"/>
    <n v="3.6400001049999999"/>
    <n v="0"/>
    <n v="0"/>
    <n v="0"/>
    <n v="3.6400001049999999"/>
    <n v="0"/>
    <n v="0"/>
    <n v="0"/>
    <n v="276"/>
    <n v="1164"/>
    <n v="276"/>
    <n v="1440"/>
    <x v="3"/>
    <n v="1882"/>
  </r>
  <r>
    <n v="4558609924"/>
    <d v="2016-04-10T00:00:00"/>
    <s v="Sunday"/>
    <x v="1"/>
    <n v="6263"/>
    <n v="4.1399998660000001"/>
    <n v="4.1399998660000001"/>
    <n v="0"/>
    <n v="0"/>
    <n v="0"/>
    <n v="4.1300001139999996"/>
    <n v="0"/>
    <n v="0"/>
    <n v="0"/>
    <n v="290"/>
    <n v="1150"/>
    <n v="290"/>
    <n v="1440"/>
    <x v="3"/>
    <n v="1906"/>
  </r>
  <r>
    <n v="4558609924"/>
    <d v="2016-04-11T00:00:00"/>
    <s v="Monday"/>
    <x v="0"/>
    <n v="8828"/>
    <n v="5.8400001530000001"/>
    <n v="5.8400001530000001"/>
    <n v="0"/>
    <n v="0"/>
    <n v="0"/>
    <n v="5.8400001530000001"/>
    <n v="0"/>
    <n v="0"/>
    <n v="0"/>
    <n v="308"/>
    <n v="1132"/>
    <n v="308"/>
    <n v="1440"/>
    <x v="1"/>
    <n v="2149"/>
  </r>
  <r>
    <n v="4558609924"/>
    <d v="2016-04-12T00:00:00"/>
    <s v="Tuesday"/>
    <x v="0"/>
    <n v="1260"/>
    <n v="0.829999983"/>
    <n v="0.829999983"/>
    <n v="0"/>
    <n v="0"/>
    <n v="0"/>
    <n v="0.81999999300000004"/>
    <n v="0"/>
    <n v="0"/>
    <n v="0"/>
    <n v="76"/>
    <n v="555"/>
    <n v="76"/>
    <n v="631"/>
    <x v="2"/>
    <n v="722"/>
  </r>
  <r>
    <n v="4558609924"/>
    <d v="2016-04-13T00:00:00"/>
    <s v="Wednesday"/>
    <x v="0"/>
    <n v="4978"/>
    <n v="3.289999962"/>
    <n v="3.289999962"/>
    <n v="0"/>
    <n v="1.2400000099999999"/>
    <n v="0.439999998"/>
    <n v="1.6100000139999999"/>
    <n v="0"/>
    <n v="19"/>
    <n v="7"/>
    <n v="127"/>
    <n v="1287"/>
    <n v="153"/>
    <n v="1440"/>
    <x v="2"/>
    <n v="1722"/>
  </r>
  <r>
    <n v="4558609924"/>
    <d v="2016-04-14T00:00:00"/>
    <s v="Thursday"/>
    <x v="0"/>
    <n v="6799"/>
    <n v="4.4899997709999999"/>
    <n v="4.4899997709999999"/>
    <n v="0"/>
    <n v="0"/>
    <n v="0"/>
    <n v="4.4899997709999999"/>
    <n v="0"/>
    <n v="0"/>
    <n v="0"/>
    <n v="279"/>
    <n v="1161"/>
    <n v="279"/>
    <n v="1440"/>
    <x v="3"/>
    <n v="1922"/>
  </r>
  <r>
    <n v="4558609924"/>
    <d v="2016-04-15T00:00:00"/>
    <s v="Friday"/>
    <x v="0"/>
    <n v="7795"/>
    <n v="5.1500000950000002"/>
    <n v="5.1500000950000002"/>
    <n v="0"/>
    <n v="0.58999997400000004"/>
    <n v="0.83999997400000004"/>
    <n v="3.7300000190000002"/>
    <n v="0"/>
    <n v="17"/>
    <n v="30"/>
    <n v="262"/>
    <n v="1131"/>
    <n v="309"/>
    <n v="1440"/>
    <x v="1"/>
    <n v="2121"/>
  </r>
  <r>
    <n v="4558609924"/>
    <d v="2016-04-16T00:00:00"/>
    <s v="Saturday"/>
    <x v="1"/>
    <n v="7289"/>
    <n v="4.8200001720000003"/>
    <n v="4.8200001720000003"/>
    <n v="0"/>
    <n v="0.55000001200000004"/>
    <n v="0.75"/>
    <n v="3.5"/>
    <n v="0"/>
    <n v="8"/>
    <n v="12"/>
    <n v="308"/>
    <n v="1112"/>
    <n v="328"/>
    <n v="1440"/>
    <x v="3"/>
    <n v="1997"/>
  </r>
  <r>
    <n v="4558609924"/>
    <d v="2016-04-17T00:00:00"/>
    <s v="Sunday"/>
    <x v="1"/>
    <n v="9634"/>
    <n v="6.4000000950000002"/>
    <n v="6.4000000950000002"/>
    <n v="0"/>
    <n v="0.55000001200000004"/>
    <n v="1.1399999860000001"/>
    <n v="4.7100000380000004"/>
    <n v="0"/>
    <n v="7"/>
    <n v="19"/>
    <n v="304"/>
    <n v="1110"/>
    <n v="330"/>
    <n v="1440"/>
    <x v="1"/>
    <n v="2117"/>
  </r>
  <r>
    <n v="4558609924"/>
    <d v="2016-04-18T00:00:00"/>
    <s v="Monday"/>
    <x v="0"/>
    <n v="8940"/>
    <n v="5.9099998469999999"/>
    <n v="5.9099998469999999"/>
    <n v="0"/>
    <n v="0.980000019"/>
    <n v="0.93000000699999996"/>
    <n v="4"/>
    <n v="0"/>
    <n v="14"/>
    <n v="15"/>
    <n v="331"/>
    <n v="1080"/>
    <n v="360"/>
    <n v="1440"/>
    <x v="1"/>
    <n v="2116"/>
  </r>
  <r>
    <n v="4558609924"/>
    <d v="2016-04-19T00:00:00"/>
    <s v="Tuesday"/>
    <x v="0"/>
    <n v="5401"/>
    <n v="3.5699999330000001"/>
    <n v="3.5699999330000001"/>
    <n v="0"/>
    <n v="5.0000001000000002E-2"/>
    <n v="0.36000001399999998"/>
    <n v="3.1600000860000002"/>
    <n v="0"/>
    <n v="1"/>
    <n v="9"/>
    <n v="248"/>
    <n v="1182"/>
    <n v="258"/>
    <n v="1440"/>
    <x v="3"/>
    <n v="1876"/>
  </r>
  <r>
    <n v="4558609924"/>
    <d v="2016-04-20T00:00:00"/>
    <s v="Wednesday"/>
    <x v="0"/>
    <n v="4803"/>
    <n v="3.170000076"/>
    <n v="3.170000076"/>
    <n v="0"/>
    <n v="0"/>
    <n v="0"/>
    <n v="3.170000076"/>
    <n v="0"/>
    <n v="0"/>
    <n v="0"/>
    <n v="222"/>
    <n v="1218"/>
    <n v="222"/>
    <n v="1440"/>
    <x v="2"/>
    <n v="1788"/>
  </r>
  <r>
    <n v="4558609924"/>
    <d v="2016-04-21T00:00:00"/>
    <s v="Thursday"/>
    <x v="0"/>
    <n v="13743"/>
    <n v="9.0799999239999991"/>
    <n v="9.0799999239999991"/>
    <n v="0"/>
    <n v="0.41999998700000002"/>
    <n v="0.97000002900000004"/>
    <n v="7.6999998090000004"/>
    <n v="0"/>
    <n v="6"/>
    <n v="21"/>
    <n v="432"/>
    <n v="844"/>
    <n v="459"/>
    <n v="1303"/>
    <x v="0"/>
    <n v="2486"/>
  </r>
  <r>
    <n v="4558609924"/>
    <d v="2016-04-22T00:00:00"/>
    <s v="Friday"/>
    <x v="0"/>
    <n v="9601"/>
    <n v="6.3499999049999998"/>
    <n v="6.3499999049999998"/>
    <n v="0"/>
    <n v="1.3700000050000001"/>
    <n v="1.5"/>
    <n v="3.4700000289999999"/>
    <n v="0"/>
    <n v="20"/>
    <n v="25"/>
    <n v="273"/>
    <n v="1122"/>
    <n v="318"/>
    <n v="1440"/>
    <x v="1"/>
    <n v="2094"/>
  </r>
  <r>
    <n v="4558609924"/>
    <d v="2016-04-23T00:00:00"/>
    <s v="Saturday"/>
    <x v="1"/>
    <n v="6890"/>
    <n v="4.5500001909999996"/>
    <n v="4.5500001909999996"/>
    <n v="0"/>
    <n v="0.34000000400000002"/>
    <n v="0.20000000300000001"/>
    <n v="4.0100002290000001"/>
    <n v="0"/>
    <n v="5"/>
    <n v="5"/>
    <n v="308"/>
    <n v="1122"/>
    <n v="318"/>
    <n v="1440"/>
    <x v="3"/>
    <n v="2085"/>
  </r>
  <r>
    <n v="4558609924"/>
    <d v="2016-04-24T00:00:00"/>
    <s v="Sunday"/>
    <x v="1"/>
    <n v="8563"/>
    <n v="5.6599998469999999"/>
    <n v="5.6599998469999999"/>
    <n v="0"/>
    <n v="0"/>
    <n v="0"/>
    <n v="5.6500000950000002"/>
    <n v="0"/>
    <n v="0"/>
    <n v="0"/>
    <n v="395"/>
    <n v="1045"/>
    <n v="395"/>
    <n v="1440"/>
    <x v="1"/>
    <n v="2173"/>
  </r>
  <r>
    <n v="4558609924"/>
    <d v="2016-04-25T00:00:00"/>
    <s v="Monday"/>
    <x v="0"/>
    <n v="8095"/>
    <n v="5.3499999049999998"/>
    <n v="5.3499999049999998"/>
    <n v="0"/>
    <n v="0.58999997400000004"/>
    <n v="0.25"/>
    <n v="4.5100002290000001"/>
    <n v="0"/>
    <n v="18"/>
    <n v="10"/>
    <n v="340"/>
    <n v="993"/>
    <n v="368"/>
    <n v="1361"/>
    <x v="1"/>
    <n v="2225"/>
  </r>
  <r>
    <n v="4558609924"/>
    <d v="2016-04-26T00:00:00"/>
    <s v="Tuesday"/>
    <x v="0"/>
    <n v="9148"/>
    <n v="6.0500001909999996"/>
    <n v="6.0500001909999996"/>
    <n v="0"/>
    <n v="0.43000000700000002"/>
    <n v="2.0299999710000001"/>
    <n v="3.5899999139999998"/>
    <n v="0"/>
    <n v="12"/>
    <n v="41"/>
    <n v="283"/>
    <n v="1062"/>
    <n v="336"/>
    <n v="1398"/>
    <x v="1"/>
    <n v="2223"/>
  </r>
  <r>
    <n v="4558609924"/>
    <d v="2016-04-27T00:00:00"/>
    <s v="Wednesday"/>
    <x v="0"/>
    <n v="9557"/>
    <n v="6.3200001720000003"/>
    <n v="6.3200001720000003"/>
    <n v="0"/>
    <n v="1.960000038"/>
    <n v="0.88999998599999997"/>
    <n v="3.460000038"/>
    <n v="0"/>
    <n v="27"/>
    <n v="14"/>
    <n v="312"/>
    <n v="1087"/>
    <n v="353"/>
    <n v="1440"/>
    <x v="1"/>
    <n v="2098"/>
  </r>
  <r>
    <n v="4558609924"/>
    <d v="2016-04-28T00:00:00"/>
    <s v="Thursday"/>
    <x v="0"/>
    <n v="9451"/>
    <n v="6.25"/>
    <n v="6.25"/>
    <n v="0"/>
    <n v="0.02"/>
    <n v="0.27000001099999998"/>
    <n v="5.9499998090000004"/>
    <n v="0"/>
    <n v="1"/>
    <n v="11"/>
    <n v="367"/>
    <n v="985"/>
    <n v="379"/>
    <n v="1364"/>
    <x v="1"/>
    <n v="2185"/>
  </r>
  <r>
    <n v="4558609924"/>
    <d v="2016-04-29T00:00:00"/>
    <s v="Friday"/>
    <x v="0"/>
    <n v="7833"/>
    <n v="5.1799998279999997"/>
    <n v="5.1799998279999997"/>
    <n v="0"/>
    <n v="1.019999981"/>
    <n v="1.8500000240000001"/>
    <n v="2.3099999430000002"/>
    <n v="0"/>
    <n v="15"/>
    <n v="29"/>
    <n v="197"/>
    <n v="1096"/>
    <n v="241"/>
    <n v="1337"/>
    <x v="1"/>
    <n v="1918"/>
  </r>
  <r>
    <n v="4558609924"/>
    <d v="2016-04-30T00:00:00"/>
    <s v="Saturday"/>
    <x v="1"/>
    <n v="10319"/>
    <n v="6.8200001720000003"/>
    <n v="6.8200001720000003"/>
    <n v="0"/>
    <n v="0.469999999"/>
    <n v="1.8899999860000001"/>
    <n v="4.4600000380000004"/>
    <n v="0"/>
    <n v="7"/>
    <n v="29"/>
    <n v="293"/>
    <n v="1111"/>
    <n v="329"/>
    <n v="1440"/>
    <x v="0"/>
    <n v="2105"/>
  </r>
  <r>
    <n v="4558609924"/>
    <d v="2016-05-01T00:00:00"/>
    <s v="Sunday"/>
    <x v="1"/>
    <n v="3428"/>
    <n v="2.2699999809999998"/>
    <n v="2.2699999809999998"/>
    <n v="0"/>
    <n v="0"/>
    <n v="0"/>
    <n v="2.2699999809999998"/>
    <n v="0"/>
    <n v="0"/>
    <n v="0"/>
    <n v="190"/>
    <n v="1121"/>
    <n v="190"/>
    <n v="1311"/>
    <x v="2"/>
    <n v="1692"/>
  </r>
  <r>
    <n v="4558609924"/>
    <d v="2016-05-02T00:00:00"/>
    <s v="Monday"/>
    <x v="0"/>
    <n v="7891"/>
    <n v="5.2199997900000001"/>
    <n v="5.2199997900000001"/>
    <n v="0"/>
    <n v="0"/>
    <n v="0"/>
    <n v="5.2199997900000001"/>
    <n v="0"/>
    <n v="0"/>
    <n v="0"/>
    <n v="383"/>
    <n v="1057"/>
    <n v="383"/>
    <n v="1440"/>
    <x v="1"/>
    <n v="2066"/>
  </r>
  <r>
    <n v="4558609924"/>
    <d v="2016-05-03T00:00:00"/>
    <s v="Tuesday"/>
    <x v="0"/>
    <n v="5267"/>
    <n v="3.4800000190000002"/>
    <n v="3.4800000190000002"/>
    <n v="0"/>
    <n v="0.60000002399999997"/>
    <n v="0.280000001"/>
    <n v="2.5999999049999998"/>
    <n v="0"/>
    <n v="21"/>
    <n v="10"/>
    <n v="237"/>
    <n v="1172"/>
    <n v="268"/>
    <n v="1440"/>
    <x v="3"/>
    <n v="1953"/>
  </r>
  <r>
    <n v="4558609924"/>
    <d v="2016-05-04T00:00:00"/>
    <s v="Wednesday"/>
    <x v="0"/>
    <n v="5232"/>
    <n v="3.460000038"/>
    <n v="3.460000038"/>
    <n v="0"/>
    <n v="0"/>
    <n v="0"/>
    <n v="3.460000038"/>
    <n v="0"/>
    <n v="0"/>
    <n v="0"/>
    <n v="252"/>
    <n v="1188"/>
    <n v="252"/>
    <n v="1440"/>
    <x v="3"/>
    <n v="1842"/>
  </r>
  <r>
    <n v="4558609924"/>
    <d v="2016-05-05T00:00:00"/>
    <s v="Thursday"/>
    <x v="0"/>
    <n v="10611"/>
    <n v="7.0100002290000001"/>
    <n v="7.0100002290000001"/>
    <n v="0"/>
    <n v="1.0099999900000001"/>
    <n v="0.5"/>
    <n v="5.5100002290000001"/>
    <n v="0"/>
    <n v="14"/>
    <n v="8"/>
    <n v="370"/>
    <n v="1048"/>
    <n v="392"/>
    <n v="1440"/>
    <x v="0"/>
    <n v="2262"/>
  </r>
  <r>
    <n v="4558609924"/>
    <d v="2016-05-06T00:00:00"/>
    <s v="Friday"/>
    <x v="0"/>
    <n v="3755"/>
    <n v="2.4800000190000002"/>
    <n v="2.4800000190000002"/>
    <n v="0"/>
    <n v="0"/>
    <n v="0"/>
    <n v="2.4800000190000002"/>
    <n v="0"/>
    <n v="0"/>
    <n v="0"/>
    <n v="202"/>
    <n v="1238"/>
    <n v="202"/>
    <n v="1440"/>
    <x v="2"/>
    <n v="1722"/>
  </r>
  <r>
    <n v="4558609924"/>
    <d v="2016-05-07T00:00:00"/>
    <s v="Saturday"/>
    <x v="1"/>
    <n v="8237"/>
    <n v="5.4400000569999998"/>
    <n v="5.4400000569999998"/>
    <n v="0"/>
    <n v="1.6100000139999999"/>
    <n v="1"/>
    <n v="2.829999924"/>
    <n v="0"/>
    <n v="23"/>
    <n v="16"/>
    <n v="233"/>
    <n v="1116"/>
    <n v="272"/>
    <n v="1388"/>
    <x v="1"/>
    <n v="1973"/>
  </r>
  <r>
    <n v="4558609924"/>
    <d v="2016-05-08T00:00:00"/>
    <s v="Sunday"/>
    <x v="1"/>
    <n v="6543"/>
    <n v="4.329999924"/>
    <n v="4.329999924"/>
    <n v="0"/>
    <n v="1.7999999520000001"/>
    <n v="0.5"/>
    <n v="2.0199999809999998"/>
    <n v="0"/>
    <n v="66"/>
    <n v="35"/>
    <n v="238"/>
    <n v="1019"/>
    <n v="339"/>
    <n v="1358"/>
    <x v="3"/>
    <n v="2666"/>
  </r>
  <r>
    <n v="4558609924"/>
    <d v="2016-05-09T00:00:00"/>
    <s v="Monday"/>
    <x v="0"/>
    <n v="11451"/>
    <n v="7.5700001720000003"/>
    <n v="7.5700001720000003"/>
    <n v="0"/>
    <n v="0.43000000700000002"/>
    <n v="1.6200000050000001"/>
    <n v="5.5199999809999998"/>
    <n v="0"/>
    <n v="6"/>
    <n v="30"/>
    <n v="339"/>
    <n v="1065"/>
    <n v="375"/>
    <n v="1440"/>
    <x v="0"/>
    <n v="2223"/>
  </r>
  <r>
    <n v="4558609924"/>
    <d v="2016-05-10T00:00:00"/>
    <s v="Tuesday"/>
    <x v="0"/>
    <n v="6435"/>
    <n v="4.25"/>
    <n v="4.25"/>
    <n v="0"/>
    <n v="0.74000001000000004"/>
    <n v="1.1200000050000001"/>
    <n v="2.3900001049999999"/>
    <n v="0"/>
    <n v="11"/>
    <n v="18"/>
    <n v="220"/>
    <n v="1191"/>
    <n v="249"/>
    <n v="1440"/>
    <x v="3"/>
    <n v="1889"/>
  </r>
  <r>
    <n v="4558609924"/>
    <d v="2016-05-11T00:00:00"/>
    <s v="Wednesday"/>
    <x v="0"/>
    <n v="9108"/>
    <n v="6.0199999809999998"/>
    <n v="6.0199999809999998"/>
    <n v="0"/>
    <n v="0.25999999000000001"/>
    <n v="1.8200000519999999"/>
    <n v="3.9400000569999998"/>
    <n v="0"/>
    <n v="4"/>
    <n v="31"/>
    <n v="324"/>
    <n v="1081"/>
    <n v="359"/>
    <n v="1440"/>
    <x v="1"/>
    <n v="2131"/>
  </r>
  <r>
    <n v="4558609924"/>
    <d v="2016-05-12T00:00:00"/>
    <s v="Thursday"/>
    <x v="0"/>
    <n v="6307"/>
    <n v="4.170000076"/>
    <n v="4.170000076"/>
    <n v="0"/>
    <n v="0"/>
    <n v="0"/>
    <n v="4.170000076"/>
    <n v="0"/>
    <n v="0"/>
    <n v="0"/>
    <n v="247"/>
    <n v="736"/>
    <n v="247"/>
    <n v="983"/>
    <x v="3"/>
    <n v="1452"/>
  </r>
  <r>
    <n v="4702921684"/>
    <d v="2016-03-29T00:00:00"/>
    <s v="Tuesday"/>
    <x v="0"/>
    <n v="6506"/>
    <n v="5.2800002099999999"/>
    <n v="5.2800002099999999"/>
    <n v="0"/>
    <n v="0.33000001299999998"/>
    <n v="0.27000001099999998"/>
    <n v="4.670000076"/>
    <n v="0"/>
    <n v="4"/>
    <n v="5"/>
    <n v="241"/>
    <n v="760"/>
    <n v="250"/>
    <n v="1010"/>
    <x v="3"/>
    <n v="2886"/>
  </r>
  <r>
    <n v="4702921684"/>
    <d v="2016-03-30T00:00:00"/>
    <s v="Wednesday"/>
    <x v="0"/>
    <n v="7583"/>
    <n v="6.1500000950000002"/>
    <n v="6.1500000950000002"/>
    <n v="0"/>
    <n v="0.25"/>
    <n v="0.55000001200000004"/>
    <n v="5.3499999049999998"/>
    <n v="0"/>
    <n v="3"/>
    <n v="13"/>
    <n v="227"/>
    <n v="742"/>
    <n v="243"/>
    <n v="985"/>
    <x v="1"/>
    <n v="2915"/>
  </r>
  <r>
    <n v="4702921684"/>
    <d v="2016-03-31T00:00:00"/>
    <s v="Thursday"/>
    <x v="0"/>
    <n v="6963"/>
    <n v="5.6500000950000002"/>
    <n v="5.6500000950000002"/>
    <n v="0"/>
    <n v="0"/>
    <n v="0"/>
    <n v="5.6500000950000002"/>
    <n v="0"/>
    <n v="0"/>
    <n v="0"/>
    <n v="256"/>
    <n v="759"/>
    <n v="256"/>
    <n v="1015"/>
    <x v="3"/>
    <n v="2895"/>
  </r>
  <r>
    <n v="4702921684"/>
    <d v="2016-04-01T00:00:00"/>
    <s v="Friday"/>
    <x v="0"/>
    <n v="7165"/>
    <n v="5.8099999430000002"/>
    <n v="5.8099999430000002"/>
    <n v="0"/>
    <n v="0"/>
    <n v="0.37000000500000002"/>
    <n v="5.4400000569999998"/>
    <n v="0"/>
    <n v="0"/>
    <n v="9"/>
    <n v="248"/>
    <n v="708"/>
    <n v="257"/>
    <n v="965"/>
    <x v="3"/>
    <n v="2923"/>
  </r>
  <r>
    <n v="4702921684"/>
    <d v="2016-04-02T00:00:00"/>
    <s v="Saturday"/>
    <x v="1"/>
    <n v="10328"/>
    <n v="8.3800001139999996"/>
    <n v="8.3800001139999996"/>
    <n v="0"/>
    <n v="0"/>
    <n v="1.460000038"/>
    <n v="6.920000076"/>
    <n v="0"/>
    <n v="0"/>
    <n v="32"/>
    <n v="367"/>
    <n v="475"/>
    <n v="399"/>
    <n v="874"/>
    <x v="0"/>
    <n v="3323"/>
  </r>
  <r>
    <n v="4702921684"/>
    <d v="2016-04-03T00:00:00"/>
    <s v="Sunday"/>
    <x v="1"/>
    <n v="12116"/>
    <n v="9.8299999239999991"/>
    <n v="9.8299999239999991"/>
    <n v="0"/>
    <n v="0.25"/>
    <n v="2.8499999049999998"/>
    <n v="6.7199997900000001"/>
    <n v="0"/>
    <n v="3"/>
    <n v="57"/>
    <n v="323"/>
    <n v="471"/>
    <n v="383"/>
    <n v="854"/>
    <x v="0"/>
    <n v="3357"/>
  </r>
  <r>
    <n v="4702921684"/>
    <d v="2016-04-04T00:00:00"/>
    <s v="Monday"/>
    <x v="0"/>
    <n v="7810"/>
    <n v="6.3600001339999999"/>
    <n v="6.3600001339999999"/>
    <n v="0"/>
    <n v="0.47999998900000002"/>
    <n v="1.2000000479999999"/>
    <n v="4.6799998279999997"/>
    <n v="0"/>
    <n v="6"/>
    <n v="27"/>
    <n v="216"/>
    <n v="746"/>
    <n v="249"/>
    <n v="995"/>
    <x v="1"/>
    <n v="2931"/>
  </r>
  <r>
    <n v="4702921684"/>
    <d v="2016-04-05T00:00:00"/>
    <s v="Tuesday"/>
    <x v="0"/>
    <n v="6670"/>
    <n v="5.4099998469999999"/>
    <n v="5.4099998469999999"/>
    <n v="0"/>
    <n v="1.2400000099999999"/>
    <n v="0.80000001200000004"/>
    <n v="3.369999886"/>
    <n v="0"/>
    <n v="15"/>
    <n v="16"/>
    <n v="199"/>
    <n v="770"/>
    <n v="230"/>
    <n v="1000"/>
    <x v="3"/>
    <n v="2848"/>
  </r>
  <r>
    <n v="4702921684"/>
    <d v="2016-04-06T00:00:00"/>
    <s v="Wednesday"/>
    <x v="0"/>
    <n v="7605"/>
    <n v="6.1799998279999997"/>
    <n v="6.1799998279999997"/>
    <n v="0"/>
    <n v="0.33000001299999998"/>
    <n v="0.209999993"/>
    <n v="5.6300001139999996"/>
    <n v="0"/>
    <n v="4"/>
    <n v="4"/>
    <n v="248"/>
    <n v="708"/>
    <n v="256"/>
    <n v="964"/>
    <x v="1"/>
    <n v="2943"/>
  </r>
  <r>
    <n v="4702921684"/>
    <d v="2016-04-07T00:00:00"/>
    <s v="Thursday"/>
    <x v="0"/>
    <n v="6585"/>
    <n v="5.3400001530000001"/>
    <n v="5.3400001530000001"/>
    <n v="0"/>
    <n v="0"/>
    <n v="0"/>
    <n v="5.3400001530000001"/>
    <n v="0"/>
    <n v="0"/>
    <n v="0"/>
    <n v="210"/>
    <n v="770"/>
    <n v="210"/>
    <n v="980"/>
    <x v="3"/>
    <n v="2822"/>
  </r>
  <r>
    <n v="4702921684"/>
    <d v="2016-04-08T00:00:00"/>
    <s v="Friday"/>
    <x v="0"/>
    <n v="8184"/>
    <n v="6.6399998660000001"/>
    <n v="6.6399998660000001"/>
    <n v="0"/>
    <n v="0"/>
    <n v="0.62000000499999997"/>
    <n v="5.9499998090000004"/>
    <n v="0"/>
    <n v="0"/>
    <n v="15"/>
    <n v="247"/>
    <n v="808"/>
    <n v="262"/>
    <n v="1070"/>
    <x v="1"/>
    <n v="2981"/>
  </r>
  <r>
    <n v="4702921684"/>
    <d v="2016-04-09T00:00:00"/>
    <s v="Saturday"/>
    <x v="1"/>
    <n v="14002"/>
    <n v="11.35999966"/>
    <n v="11.35999966"/>
    <n v="0"/>
    <n v="0.61000001400000003"/>
    <n v="2.6800000669999999"/>
    <n v="8.0600004199999997"/>
    <n v="0"/>
    <n v="8"/>
    <n v="56"/>
    <n v="381"/>
    <n v="407"/>
    <n v="445"/>
    <n v="852"/>
    <x v="0"/>
    <n v="3597"/>
  </r>
  <r>
    <n v="4702921684"/>
    <d v="2016-04-10T00:00:00"/>
    <s v="Sunday"/>
    <x v="1"/>
    <n v="11135"/>
    <n v="9.0299997330000004"/>
    <n v="9.0299997330000004"/>
    <n v="0"/>
    <n v="7.9999998000000003E-2"/>
    <n v="1.1599999670000001"/>
    <n v="7.7899999619999996"/>
    <n v="0"/>
    <n v="1"/>
    <n v="25"/>
    <n v="331"/>
    <n v="528"/>
    <n v="357"/>
    <n v="885"/>
    <x v="0"/>
    <n v="3224"/>
  </r>
  <r>
    <n v="4702921684"/>
    <d v="2016-04-11T00:00:00"/>
    <s v="Monday"/>
    <x v="0"/>
    <n v="6499"/>
    <n v="5.2699999809999998"/>
    <n v="5.2699999809999998"/>
    <n v="0"/>
    <n v="0"/>
    <n v="0"/>
    <n v="5.2699999809999998"/>
    <n v="0"/>
    <n v="0"/>
    <n v="0"/>
    <n v="207"/>
    <n v="809"/>
    <n v="207"/>
    <n v="1016"/>
    <x v="3"/>
    <n v="2677"/>
  </r>
  <r>
    <n v="4702921684"/>
    <d v="2016-04-13T00:00:00"/>
    <s v="Wednesday"/>
    <x v="0"/>
    <n v="6877"/>
    <n v="5.579999924"/>
    <n v="5.579999924"/>
    <n v="0"/>
    <n v="0"/>
    <n v="0"/>
    <n v="5.579999924"/>
    <n v="0"/>
    <n v="0"/>
    <n v="0"/>
    <n v="258"/>
    <n v="777"/>
    <n v="258"/>
    <n v="1035"/>
    <x v="3"/>
    <n v="2898"/>
  </r>
  <r>
    <n v="4702921684"/>
    <d v="2016-04-14T00:00:00"/>
    <s v="Thursday"/>
    <x v="0"/>
    <n v="7860"/>
    <n v="6.3699998860000004"/>
    <n v="6.3699998860000004"/>
    <n v="0"/>
    <n v="0"/>
    <n v="0"/>
    <n v="6.3699998860000004"/>
    <n v="0"/>
    <n v="0"/>
    <n v="0"/>
    <n v="271"/>
    <n v="772"/>
    <n v="271"/>
    <n v="1043"/>
    <x v="1"/>
    <n v="2984"/>
  </r>
  <r>
    <n v="4702921684"/>
    <d v="2016-04-15T00:00:00"/>
    <s v="Friday"/>
    <x v="0"/>
    <n v="6506"/>
    <n v="5.2800002099999999"/>
    <n v="5.2800002099999999"/>
    <n v="0"/>
    <n v="7.0000000000000007E-2"/>
    <n v="0.41999998700000002"/>
    <n v="4.7899999619999996"/>
    <n v="0"/>
    <n v="1"/>
    <n v="8"/>
    <n v="256"/>
    <n v="944"/>
    <n v="265"/>
    <n v="1209"/>
    <x v="3"/>
    <n v="2896"/>
  </r>
  <r>
    <n v="4702921684"/>
    <d v="2016-04-16T00:00:00"/>
    <s v="Saturday"/>
    <x v="1"/>
    <n v="11140"/>
    <n v="9.0299997330000004"/>
    <n v="9.0299997330000004"/>
    <n v="0"/>
    <n v="0.23999999499999999"/>
    <n v="1.25"/>
    <n v="7.5399999619999996"/>
    <n v="0"/>
    <n v="3"/>
    <n v="24"/>
    <n v="335"/>
    <n v="556"/>
    <n v="362"/>
    <n v="918"/>
    <x v="0"/>
    <n v="3328"/>
  </r>
  <r>
    <n v="4702921684"/>
    <d v="2016-04-17T00:00:00"/>
    <s v="Sunday"/>
    <x v="1"/>
    <n v="12692"/>
    <n v="10.289999959999999"/>
    <n v="10.289999959999999"/>
    <n v="0"/>
    <n v="0.959999979"/>
    <n v="3.460000038"/>
    <n v="5.8800001139999996"/>
    <n v="0"/>
    <n v="12"/>
    <n v="66"/>
    <n v="302"/>
    <n v="437"/>
    <n v="380"/>
    <n v="817"/>
    <x v="0"/>
    <n v="3394"/>
  </r>
  <r>
    <n v="4702921684"/>
    <d v="2016-04-18T00:00:00"/>
    <s v="Monday"/>
    <x v="0"/>
    <n v="9105"/>
    <n v="7.3800001139999996"/>
    <n v="7.3800001139999996"/>
    <n v="0"/>
    <n v="1.8200000519999999"/>
    <n v="1.4900000099999999"/>
    <n v="4.0700001720000003"/>
    <n v="0"/>
    <n v="22"/>
    <n v="30"/>
    <n v="191"/>
    <n v="890"/>
    <n v="243"/>
    <n v="1133"/>
    <x v="1"/>
    <n v="3013"/>
  </r>
  <r>
    <n v="4702921684"/>
    <d v="2016-04-19T00:00:00"/>
    <s v="Tuesday"/>
    <x v="0"/>
    <n v="6708"/>
    <n v="5.4400000569999998"/>
    <n v="5.4400000569999998"/>
    <n v="0"/>
    <n v="0.87999999500000003"/>
    <n v="0.37000000500000002"/>
    <n v="4.1900000569999998"/>
    <n v="0"/>
    <n v="10"/>
    <n v="8"/>
    <n v="179"/>
    <n v="757"/>
    <n v="197"/>
    <n v="954"/>
    <x v="3"/>
    <n v="2812"/>
  </r>
  <r>
    <n v="4702921684"/>
    <d v="2016-04-20T00:00:00"/>
    <s v="Wednesday"/>
    <x v="0"/>
    <n v="8793"/>
    <n v="7.1300001139999996"/>
    <n v="7.1300001139999996"/>
    <n v="0"/>
    <n v="0.15999999600000001"/>
    <n v="1.230000019"/>
    <n v="5.7300000190000002"/>
    <n v="0"/>
    <n v="2"/>
    <n v="29"/>
    <n v="260"/>
    <n v="717"/>
    <n v="291"/>
    <n v="1008"/>
    <x v="1"/>
    <n v="3061"/>
  </r>
  <r>
    <n v="4702921684"/>
    <d v="2016-04-21T00:00:00"/>
    <s v="Thursday"/>
    <x v="0"/>
    <n v="6530"/>
    <n v="5.3000001909999996"/>
    <n v="5.3000001909999996"/>
    <n v="0"/>
    <n v="0.310000002"/>
    <n v="2.0499999519999998"/>
    <n v="2.9400000569999998"/>
    <n v="0"/>
    <n v="4"/>
    <n v="41"/>
    <n v="144"/>
    <n v="901"/>
    <n v="189"/>
    <n v="1090"/>
    <x v="3"/>
    <n v="2729"/>
  </r>
  <r>
    <n v="4702921684"/>
    <d v="2016-04-22T00:00:00"/>
    <s v="Friday"/>
    <x v="0"/>
    <n v="1664"/>
    <n v="1.3500000240000001"/>
    <n v="1.3500000240000001"/>
    <n v="0"/>
    <n v="0"/>
    <n v="0"/>
    <n v="1.3500000240000001"/>
    <n v="0"/>
    <n v="0"/>
    <n v="0"/>
    <n v="72"/>
    <n v="1341"/>
    <n v="72"/>
    <n v="1413"/>
    <x v="2"/>
    <n v="2241"/>
  </r>
  <r>
    <n v="4702921684"/>
    <d v="2016-04-23T00:00:00"/>
    <s v="Saturday"/>
    <x v="1"/>
    <n v="15126"/>
    <n v="12.27000046"/>
    <n v="12.27000046"/>
    <n v="0"/>
    <n v="0.75999998999999996"/>
    <n v="3.2400000100000002"/>
    <n v="8.2700004580000002"/>
    <n v="0"/>
    <n v="9"/>
    <n v="66"/>
    <n v="408"/>
    <n v="469"/>
    <n v="483"/>
    <n v="952"/>
    <x v="0"/>
    <n v="3691"/>
  </r>
  <r>
    <n v="4702921684"/>
    <d v="2016-04-24T00:00:00"/>
    <s v="Sunday"/>
    <x v="1"/>
    <n v="15050"/>
    <n v="12.22000027"/>
    <n v="12.22000027"/>
    <n v="0"/>
    <n v="1.2000000479999999"/>
    <n v="5.1199998860000004"/>
    <n v="5.8800001139999996"/>
    <n v="0"/>
    <n v="15"/>
    <n v="95"/>
    <n v="281"/>
    <n v="542"/>
    <n v="391"/>
    <n v="933"/>
    <x v="0"/>
    <n v="3538"/>
  </r>
  <r>
    <n v="4702921684"/>
    <d v="2016-04-25T00:00:00"/>
    <s v="Monday"/>
    <x v="0"/>
    <n v="9167"/>
    <n v="7.4299998279999997"/>
    <n v="7.4299998279999997"/>
    <n v="0"/>
    <n v="0.49000000999999999"/>
    <n v="0.81999999300000004"/>
    <n v="6.1100001339999999"/>
    <n v="0"/>
    <n v="6"/>
    <n v="15"/>
    <n v="270"/>
    <n v="730"/>
    <n v="291"/>
    <n v="1021"/>
    <x v="1"/>
    <n v="3064"/>
  </r>
  <r>
    <n v="4702921684"/>
    <d v="2016-04-26T00:00:00"/>
    <s v="Tuesday"/>
    <x v="0"/>
    <n v="6108"/>
    <n v="4.9499998090000004"/>
    <n v="4.9499998090000004"/>
    <n v="0"/>
    <n v="7.0000000000000007E-2"/>
    <n v="0.34999999399999998"/>
    <n v="4.5399999619999996"/>
    <n v="0"/>
    <n v="1"/>
    <n v="8"/>
    <n v="216"/>
    <n v="765"/>
    <n v="225"/>
    <n v="990"/>
    <x v="3"/>
    <n v="2784"/>
  </r>
  <r>
    <n v="4702921684"/>
    <d v="2016-04-27T00:00:00"/>
    <s v="Wednesday"/>
    <x v="0"/>
    <n v="7047"/>
    <n v="5.7199997900000001"/>
    <n v="5.7199997900000001"/>
    <n v="0"/>
    <n v="9.0000003999999995E-2"/>
    <n v="0.80000001200000004"/>
    <n v="4.7800002099999999"/>
    <n v="0"/>
    <n v="1"/>
    <n v="16"/>
    <n v="238"/>
    <n v="733"/>
    <n v="255"/>
    <n v="988"/>
    <x v="3"/>
    <n v="2908"/>
  </r>
  <r>
    <n v="4702921684"/>
    <d v="2016-04-28T00:00:00"/>
    <s v="Thursday"/>
    <x v="0"/>
    <n v="9023"/>
    <n v="7.3200001720000003"/>
    <n v="7.3200001720000003"/>
    <n v="0"/>
    <n v="1.1299999949999999"/>
    <n v="0.41999998700000002"/>
    <n v="5.7699999809999998"/>
    <n v="0"/>
    <n v="14"/>
    <n v="9"/>
    <n v="232"/>
    <n v="738"/>
    <n v="255"/>
    <n v="993"/>
    <x v="1"/>
    <n v="3033"/>
  </r>
  <r>
    <n v="4702921684"/>
    <d v="2016-04-29T00:00:00"/>
    <s v="Friday"/>
    <x v="0"/>
    <n v="9930"/>
    <n v="8.0500001910000005"/>
    <n v="8.0500001910000005"/>
    <n v="0"/>
    <n v="1.059999943"/>
    <n v="0.920000017"/>
    <n v="6.0700001720000003"/>
    <n v="0"/>
    <n v="12"/>
    <n v="19"/>
    <n v="267"/>
    <n v="692"/>
    <n v="298"/>
    <n v="990"/>
    <x v="1"/>
    <n v="3165"/>
  </r>
  <r>
    <n v="4702921684"/>
    <d v="2016-04-30T00:00:00"/>
    <s v="Saturday"/>
    <x v="1"/>
    <n v="10144"/>
    <n v="8.2299995419999998"/>
    <n v="8.2299995419999998"/>
    <n v="0"/>
    <n v="0.31999999299999998"/>
    <n v="2.0299999710000001"/>
    <n v="5.8800001139999996"/>
    <n v="0"/>
    <n v="4"/>
    <n v="36"/>
    <n v="263"/>
    <n v="728"/>
    <n v="303"/>
    <n v="1031"/>
    <x v="0"/>
    <n v="3115"/>
  </r>
  <r>
    <n v="4702921684"/>
    <d v="2016-05-02T00:00:00"/>
    <s v="Monday"/>
    <x v="0"/>
    <n v="7245"/>
    <n v="5.920000076"/>
    <n v="5.920000076"/>
    <n v="0"/>
    <n v="0.37999999499999998"/>
    <n v="1.7400000099999999"/>
    <n v="3.7599999899999998"/>
    <n v="0"/>
    <n v="5"/>
    <n v="40"/>
    <n v="195"/>
    <n v="1131"/>
    <n v="240"/>
    <n v="1371"/>
    <x v="3"/>
    <n v="2859"/>
  </r>
  <r>
    <n v="4702921684"/>
    <d v="2016-05-03T00:00:00"/>
    <s v="Tuesday"/>
    <x v="0"/>
    <n v="9454"/>
    <n v="7.670000076"/>
    <n v="7.670000076"/>
    <n v="0"/>
    <n v="0"/>
    <n v="0"/>
    <n v="7.670000076"/>
    <n v="0"/>
    <n v="0"/>
    <n v="0"/>
    <n v="313"/>
    <n v="729"/>
    <n v="313"/>
    <n v="1042"/>
    <x v="1"/>
    <n v="3145"/>
  </r>
  <r>
    <n v="4702921684"/>
    <d v="2016-05-04T00:00:00"/>
    <s v="Wednesday"/>
    <x v="0"/>
    <n v="8161"/>
    <n v="6.6199998860000004"/>
    <n v="6.6199998860000004"/>
    <n v="0"/>
    <n v="0.34000000400000002"/>
    <n v="0.730000019"/>
    <n v="5.5399999619999996"/>
    <n v="0"/>
    <n v="4"/>
    <n v="15"/>
    <n v="251"/>
    <n v="757"/>
    <n v="270"/>
    <n v="1027"/>
    <x v="1"/>
    <n v="3004"/>
  </r>
  <r>
    <n v="4702921684"/>
    <d v="2016-05-05T00:00:00"/>
    <s v="Thursday"/>
    <x v="0"/>
    <n v="8614"/>
    <n v="6.9899997709999999"/>
    <n v="6.9899997709999999"/>
    <n v="0"/>
    <n v="0.670000017"/>
    <n v="0.219999999"/>
    <n v="6.0900001530000001"/>
    <n v="0"/>
    <n v="8"/>
    <n v="5"/>
    <n v="241"/>
    <n v="745"/>
    <n v="254"/>
    <n v="999"/>
    <x v="1"/>
    <n v="3006"/>
  </r>
  <r>
    <n v="4702921684"/>
    <d v="2016-05-06T00:00:00"/>
    <s v="Friday"/>
    <x v="0"/>
    <n v="6943"/>
    <n v="5.6300001139999996"/>
    <n v="5.6300001139999996"/>
    <n v="0"/>
    <n v="7.9999998000000003E-2"/>
    <n v="0.66000002599999996"/>
    <n v="4.8699998860000004"/>
    <n v="0"/>
    <n v="1"/>
    <n v="16"/>
    <n v="207"/>
    <n v="682"/>
    <n v="224"/>
    <n v="906"/>
    <x v="3"/>
    <n v="2859"/>
  </r>
  <r>
    <n v="4702921684"/>
    <d v="2016-05-07T00:00:00"/>
    <s v="Saturday"/>
    <x v="1"/>
    <n v="14370"/>
    <n v="11.649999619999999"/>
    <n v="11.649999619999999"/>
    <n v="0"/>
    <n v="0.37000000500000002"/>
    <n v="2.3099999430000002"/>
    <n v="8.9700002669999996"/>
    <n v="0"/>
    <n v="5"/>
    <n v="46"/>
    <n v="439"/>
    <n v="577"/>
    <n v="490"/>
    <n v="1067"/>
    <x v="0"/>
    <n v="3683"/>
  </r>
  <r>
    <n v="4702921684"/>
    <d v="2016-05-08T00:00:00"/>
    <s v="Sunday"/>
    <x v="1"/>
    <n v="12857"/>
    <n v="10.43000031"/>
    <n v="10.43000031"/>
    <n v="0"/>
    <n v="0.68000000699999996"/>
    <n v="6.2100000380000004"/>
    <n v="3.539999962"/>
    <n v="0"/>
    <n v="9"/>
    <n v="125"/>
    <n v="192"/>
    <n v="1019"/>
    <n v="326"/>
    <n v="1345"/>
    <x v="0"/>
    <n v="3287"/>
  </r>
  <r>
    <n v="4702921684"/>
    <d v="2016-05-09T00:00:00"/>
    <s v="Monday"/>
    <x v="0"/>
    <n v="8232"/>
    <n v="6.6799998279999997"/>
    <n v="6.6799998279999997"/>
    <n v="0"/>
    <n v="0"/>
    <n v="0.56999999300000004"/>
    <n v="6.0999999049999998"/>
    <n v="0"/>
    <n v="0"/>
    <n v="12"/>
    <n v="253"/>
    <n v="746"/>
    <n v="265"/>
    <n v="1011"/>
    <x v="1"/>
    <n v="2990"/>
  </r>
  <r>
    <n v="4702921684"/>
    <d v="2016-05-10T00:00:00"/>
    <s v="Tuesday"/>
    <x v="0"/>
    <n v="10613"/>
    <n v="8.6099996569999995"/>
    <n v="8.6099996569999995"/>
    <n v="0"/>
    <n v="7.9999998000000003E-2"/>
    <n v="1.8799999949999999"/>
    <n v="6.6500000950000002"/>
    <n v="0"/>
    <n v="1"/>
    <n v="37"/>
    <n v="262"/>
    <n v="701"/>
    <n v="300"/>
    <n v="1001"/>
    <x v="0"/>
    <n v="3172"/>
  </r>
  <r>
    <n v="4702921684"/>
    <d v="2016-05-11T00:00:00"/>
    <s v="Wednesday"/>
    <x v="0"/>
    <n v="9810"/>
    <n v="7.9600000380000004"/>
    <n v="7.9600000380000004"/>
    <n v="0"/>
    <n v="0.77999997099999996"/>
    <n v="2.1600000860000002"/>
    <n v="4.9800000190000002"/>
    <n v="0"/>
    <n v="10"/>
    <n v="41"/>
    <n v="235"/>
    <n v="784"/>
    <n v="286"/>
    <n v="1070"/>
    <x v="1"/>
    <n v="3069"/>
  </r>
  <r>
    <n v="5553957443"/>
    <d v="2016-04-01T00:00:00"/>
    <s v="Friday"/>
    <x v="0"/>
    <n v="12409"/>
    <n v="8.1000003809999992"/>
    <n v="8.1000003809999992"/>
    <n v="0"/>
    <n v="2.9000000950000002"/>
    <n v="0.62999999500000003"/>
    <n v="4.579999924"/>
    <n v="0"/>
    <n v="51"/>
    <n v="12"/>
    <n v="235"/>
    <n v="782"/>
    <n v="298"/>
    <n v="1080"/>
    <x v="0"/>
    <n v="2142"/>
  </r>
  <r>
    <n v="5553957443"/>
    <d v="2016-04-03T00:00:00"/>
    <s v="Sunday"/>
    <x v="1"/>
    <n v="1515"/>
    <n v="0.99000001000000004"/>
    <n v="0.99000001000000004"/>
    <n v="0"/>
    <n v="0"/>
    <n v="0"/>
    <n v="0.99000001000000004"/>
    <n v="0"/>
    <n v="0"/>
    <n v="0"/>
    <n v="93"/>
    <n v="507"/>
    <n v="93"/>
    <n v="600"/>
    <x v="2"/>
    <n v="1481"/>
  </r>
  <r>
    <n v="5553957443"/>
    <d v="2016-04-04T00:00:00"/>
    <s v="Monday"/>
    <x v="0"/>
    <n v="8921"/>
    <n v="5.8800001139999996"/>
    <n v="5.8800001139999996"/>
    <n v="0"/>
    <n v="2.0699999330000001"/>
    <n v="0.439999998"/>
    <n v="3.3599998950000001"/>
    <n v="0"/>
    <n v="27"/>
    <n v="8"/>
    <n v="198"/>
    <n v="754"/>
    <n v="233"/>
    <n v="987"/>
    <x v="1"/>
    <n v="1892"/>
  </r>
  <r>
    <n v="5553957443"/>
    <d v="2016-04-05T00:00:00"/>
    <s v="Tuesday"/>
    <x v="0"/>
    <n v="11306"/>
    <n v="7.3800001139999996"/>
    <n v="7.3800001139999996"/>
    <n v="0"/>
    <n v="2.3099999430000002"/>
    <n v="0.980000019"/>
    <n v="4.0900001530000001"/>
    <n v="0"/>
    <n v="40"/>
    <n v="26"/>
    <n v="218"/>
    <n v="772"/>
    <n v="284"/>
    <n v="1056"/>
    <x v="0"/>
    <n v="2086"/>
  </r>
  <r>
    <n v="5553957443"/>
    <d v="2016-04-06T00:00:00"/>
    <s v="Wednesday"/>
    <x v="0"/>
    <n v="12252"/>
    <n v="8"/>
    <n v="8"/>
    <n v="0"/>
    <n v="2.4100000860000002"/>
    <n v="1.7000000479999999"/>
    <n v="3.8900001049999999"/>
    <n v="0"/>
    <n v="33"/>
    <n v="28"/>
    <n v="229"/>
    <n v="745"/>
    <n v="290"/>
    <n v="1035"/>
    <x v="0"/>
    <n v="2044"/>
  </r>
  <r>
    <n v="5553957443"/>
    <d v="2016-04-07T00:00:00"/>
    <s v="Thursday"/>
    <x v="0"/>
    <n v="15444"/>
    <n v="10.079999920000001"/>
    <n v="10.079999920000001"/>
    <n v="0"/>
    <n v="3.2699999809999998"/>
    <n v="1.730000019"/>
    <n v="5.079999924"/>
    <n v="0"/>
    <n v="51"/>
    <n v="39"/>
    <n v="243"/>
    <n v="731"/>
    <n v="333"/>
    <n v="1064"/>
    <x v="0"/>
    <n v="2249"/>
  </r>
  <r>
    <n v="5553957443"/>
    <d v="2016-04-08T00:00:00"/>
    <s v="Friday"/>
    <x v="0"/>
    <n v="9938"/>
    <n v="6.4899997709999999"/>
    <n v="6.4899997709999999"/>
    <n v="0"/>
    <n v="2.1400001049999999"/>
    <n v="1.2799999710000001"/>
    <n v="3.079999924"/>
    <n v="0"/>
    <n v="38"/>
    <n v="24"/>
    <n v="193"/>
    <n v="767"/>
    <n v="255"/>
    <n v="1022"/>
    <x v="1"/>
    <n v="2019"/>
  </r>
  <r>
    <n v="5553957443"/>
    <d v="2016-04-09T00:00:00"/>
    <s v="Saturday"/>
    <x v="1"/>
    <n v="4599"/>
    <n v="3"/>
    <n v="3"/>
    <n v="0"/>
    <n v="0"/>
    <n v="0"/>
    <n v="3"/>
    <n v="0"/>
    <n v="0"/>
    <n v="0"/>
    <n v="176"/>
    <n v="578"/>
    <n v="176"/>
    <n v="754"/>
    <x v="2"/>
    <n v="1692"/>
  </r>
  <r>
    <n v="5553957443"/>
    <d v="2016-04-10T00:00:00"/>
    <s v="Sunday"/>
    <x v="1"/>
    <n v="5594"/>
    <n v="3.6500000950000002"/>
    <n v="3.6500000950000002"/>
    <n v="0"/>
    <n v="0.280000001"/>
    <n v="1.480000019"/>
    <n v="1.8899999860000001"/>
    <n v="0"/>
    <n v="4"/>
    <n v="25"/>
    <n v="150"/>
    <n v="552"/>
    <n v="179"/>
    <n v="731"/>
    <x v="3"/>
    <n v="1712"/>
  </r>
  <r>
    <n v="5553957443"/>
    <d v="2016-04-11T00:00:00"/>
    <s v="Monday"/>
    <x v="0"/>
    <n v="11906"/>
    <n v="7.7699999809999998"/>
    <n v="7.7699999809999998"/>
    <n v="0"/>
    <n v="2.2599999899999998"/>
    <n v="1.519999981"/>
    <n v="3.9900000100000002"/>
    <n v="0"/>
    <n v="32"/>
    <n v="27"/>
    <n v="234"/>
    <n v="688"/>
    <n v="293"/>
    <n v="981"/>
    <x v="0"/>
    <n v="2065"/>
  </r>
  <r>
    <n v="5553957443"/>
    <d v="2016-04-13T00:00:00"/>
    <s v="Wednesday"/>
    <x v="0"/>
    <n v="4832"/>
    <n v="3.1600000860000002"/>
    <n v="3.1600000860000002"/>
    <n v="0"/>
    <n v="0"/>
    <n v="0"/>
    <n v="3.1600000860000002"/>
    <n v="0"/>
    <n v="0"/>
    <n v="0"/>
    <n v="226"/>
    <n v="647"/>
    <n v="226"/>
    <n v="873"/>
    <x v="2"/>
    <n v="1718"/>
  </r>
  <r>
    <n v="5553957443"/>
    <d v="2016-04-14T00:00:00"/>
    <s v="Thursday"/>
    <x v="0"/>
    <n v="17022"/>
    <n v="11.119999890000001"/>
    <n v="11.119999890000001"/>
    <n v="0"/>
    <n v="4"/>
    <n v="2.4500000480000002"/>
    <n v="4.670000076"/>
    <n v="0"/>
    <n v="61"/>
    <n v="41"/>
    <n v="256"/>
    <n v="693"/>
    <n v="358"/>
    <n v="1051"/>
    <x v="0"/>
    <n v="2324"/>
  </r>
  <r>
    <n v="5553957443"/>
    <d v="2016-04-15T00:00:00"/>
    <s v="Friday"/>
    <x v="0"/>
    <n v="16556"/>
    <n v="10.85999966"/>
    <n v="10.85999966"/>
    <n v="0"/>
    <n v="4.1599998469999999"/>
    <n v="1.980000019"/>
    <n v="4.7100000380000004"/>
    <n v="0"/>
    <n v="58"/>
    <n v="38"/>
    <n v="239"/>
    <n v="689"/>
    <n v="335"/>
    <n v="1024"/>
    <x v="0"/>
    <n v="2254"/>
  </r>
  <r>
    <n v="5553957443"/>
    <d v="2016-04-16T00:00:00"/>
    <s v="Saturday"/>
    <x v="1"/>
    <n v="5771"/>
    <n v="3.7699999809999998"/>
    <n v="3.7699999809999998"/>
    <n v="0"/>
    <n v="0"/>
    <n v="0"/>
    <n v="3.7699999809999998"/>
    <n v="0"/>
    <n v="0"/>
    <n v="0"/>
    <n v="288"/>
    <n v="521"/>
    <n v="288"/>
    <n v="809"/>
    <x v="3"/>
    <n v="1831"/>
  </r>
  <r>
    <n v="5553957443"/>
    <d v="2016-04-17T00:00:00"/>
    <s v="Sunday"/>
    <x v="1"/>
    <n v="655"/>
    <n v="0.43000000700000002"/>
    <n v="0.43000000700000002"/>
    <n v="0"/>
    <n v="0"/>
    <n v="0"/>
    <n v="0.43000000700000002"/>
    <n v="0"/>
    <n v="0"/>
    <n v="0"/>
    <n v="46"/>
    <n v="943"/>
    <n v="46"/>
    <n v="989"/>
    <x v="2"/>
    <n v="1397"/>
  </r>
  <r>
    <n v="5553957443"/>
    <d v="2016-04-18T00:00:00"/>
    <s v="Monday"/>
    <x v="0"/>
    <n v="3727"/>
    <n v="2.4300000669999999"/>
    <n v="2.4300000669999999"/>
    <n v="0"/>
    <n v="0"/>
    <n v="0"/>
    <n v="2.4300000669999999"/>
    <n v="0"/>
    <n v="0"/>
    <n v="0"/>
    <n v="206"/>
    <n v="622"/>
    <n v="206"/>
    <n v="828"/>
    <x v="2"/>
    <n v="1683"/>
  </r>
  <r>
    <n v="5553957443"/>
    <d v="2016-04-19T00:00:00"/>
    <s v="Tuesday"/>
    <x v="0"/>
    <n v="15482"/>
    <n v="10.10999966"/>
    <n v="10.10999966"/>
    <n v="0"/>
    <n v="4.2800002099999999"/>
    <n v="1.6599999670000001"/>
    <n v="4.1799998279999997"/>
    <n v="0"/>
    <n v="69"/>
    <n v="28"/>
    <n v="249"/>
    <n v="756"/>
    <n v="346"/>
    <n v="1102"/>
    <x v="0"/>
    <n v="2284"/>
  </r>
  <r>
    <n v="5553957443"/>
    <d v="2016-04-20T00:00:00"/>
    <s v="Wednesday"/>
    <x v="0"/>
    <n v="2713"/>
    <n v="1.769999981"/>
    <n v="1.769999981"/>
    <n v="0"/>
    <n v="0"/>
    <n v="0"/>
    <n v="1.769999981"/>
    <n v="0"/>
    <n v="0"/>
    <n v="0"/>
    <n v="148"/>
    <n v="598"/>
    <n v="148"/>
    <n v="746"/>
    <x v="2"/>
    <n v="1570"/>
  </r>
  <r>
    <n v="5553957443"/>
    <d v="2016-04-21T00:00:00"/>
    <s v="Thursday"/>
    <x v="0"/>
    <n v="12346"/>
    <n v="8.0600004199999997"/>
    <n v="8.0600004199999997"/>
    <n v="0"/>
    <n v="2.9500000480000002"/>
    <n v="2.1600000860000002"/>
    <n v="2.960000038"/>
    <n v="0"/>
    <n v="47"/>
    <n v="42"/>
    <n v="177"/>
    <n v="801"/>
    <n v="266"/>
    <n v="1067"/>
    <x v="0"/>
    <n v="2066"/>
  </r>
  <r>
    <n v="5553957443"/>
    <d v="2016-04-22T00:00:00"/>
    <s v="Friday"/>
    <x v="0"/>
    <n v="11682"/>
    <n v="7.6300001139999996"/>
    <n v="7.6300001139999996"/>
    <n v="0"/>
    <n v="1.3799999949999999"/>
    <n v="0.62999999500000003"/>
    <n v="5.5999999049999998"/>
    <n v="0"/>
    <n v="25"/>
    <n v="16"/>
    <n v="270"/>
    <n v="781"/>
    <n v="311"/>
    <n v="1092"/>
    <x v="0"/>
    <n v="2105"/>
  </r>
  <r>
    <n v="5553957443"/>
    <d v="2016-04-23T00:00:00"/>
    <s v="Saturday"/>
    <x v="1"/>
    <n v="4112"/>
    <n v="2.6900000569999998"/>
    <n v="2.6900000569999998"/>
    <n v="0"/>
    <n v="0"/>
    <n v="0"/>
    <n v="2.6800000669999999"/>
    <n v="0"/>
    <n v="0"/>
    <n v="0"/>
    <n v="272"/>
    <n v="443"/>
    <n v="272"/>
    <n v="715"/>
    <x v="2"/>
    <n v="1776"/>
  </r>
  <r>
    <n v="5553957443"/>
    <d v="2016-04-24T00:00:00"/>
    <s v="Sunday"/>
    <x v="1"/>
    <n v="1807"/>
    <n v="1.1799999480000001"/>
    <n v="1.1799999480000001"/>
    <n v="0"/>
    <n v="0"/>
    <n v="0"/>
    <n v="1.1799999480000001"/>
    <n v="0"/>
    <n v="0"/>
    <n v="0"/>
    <n v="104"/>
    <n v="582"/>
    <n v="104"/>
    <n v="686"/>
    <x v="2"/>
    <n v="1507"/>
  </r>
  <r>
    <n v="5553957443"/>
    <d v="2016-04-25T00:00:00"/>
    <s v="Monday"/>
    <x v="0"/>
    <n v="10946"/>
    <n v="7.1900000569999998"/>
    <n v="7.1900000569999998"/>
    <n v="0"/>
    <n v="2.9300000669999999"/>
    <n v="0.56999999300000004"/>
    <n v="3.6900000569999998"/>
    <n v="0"/>
    <n v="51"/>
    <n v="11"/>
    <n v="201"/>
    <n v="732"/>
    <n v="263"/>
    <n v="995"/>
    <x v="0"/>
    <n v="2033"/>
  </r>
  <r>
    <n v="5553957443"/>
    <d v="2016-04-26T00:00:00"/>
    <s v="Tuesday"/>
    <x v="0"/>
    <n v="11886"/>
    <n v="7.7600002290000001"/>
    <n v="7.7600002290000001"/>
    <n v="0"/>
    <n v="2.369999886"/>
    <n v="0.93000000699999996"/>
    <n v="4.4600000380000004"/>
    <n v="0"/>
    <n v="40"/>
    <n v="18"/>
    <n v="238"/>
    <n v="750"/>
    <n v="296"/>
    <n v="1046"/>
    <x v="0"/>
    <n v="2093"/>
  </r>
  <r>
    <n v="5553957443"/>
    <d v="2016-04-27T00:00:00"/>
    <s v="Wednesday"/>
    <x v="0"/>
    <n v="10538"/>
    <n v="6.8800001139999996"/>
    <n v="6.8800001139999996"/>
    <n v="0"/>
    <n v="1.1399999860000001"/>
    <n v="1"/>
    <n v="4.7399997709999999"/>
    <n v="0"/>
    <n v="16"/>
    <n v="16"/>
    <n v="206"/>
    <n v="745"/>
    <n v="238"/>
    <n v="983"/>
    <x v="0"/>
    <n v="1922"/>
  </r>
  <r>
    <n v="5553957443"/>
    <d v="2016-04-28T00:00:00"/>
    <s v="Thursday"/>
    <x v="0"/>
    <n v="11393"/>
    <n v="7.6300001139999996"/>
    <n v="7.6300001139999996"/>
    <n v="0"/>
    <n v="3.710000038"/>
    <n v="0.75"/>
    <n v="3.170000076"/>
    <n v="0"/>
    <n v="49"/>
    <n v="13"/>
    <n v="165"/>
    <n v="727"/>
    <n v="227"/>
    <n v="954"/>
    <x v="0"/>
    <n v="1999"/>
  </r>
  <r>
    <n v="5553957443"/>
    <d v="2016-04-29T00:00:00"/>
    <s v="Friday"/>
    <x v="0"/>
    <n v="12764"/>
    <n v="8.3299999239999991"/>
    <n v="8.3299999239999991"/>
    <n v="0"/>
    <n v="2.789999962"/>
    <n v="0.63999998599999997"/>
    <n v="4.9099998469999999"/>
    <n v="0"/>
    <n v="46"/>
    <n v="15"/>
    <n v="270"/>
    <n v="709"/>
    <n v="331"/>
    <n v="1040"/>
    <x v="0"/>
    <n v="2169"/>
  </r>
  <r>
    <n v="5553957443"/>
    <d v="2016-05-01T00:00:00"/>
    <s v="Sunday"/>
    <x v="1"/>
    <n v="5164"/>
    <n v="3.369999886"/>
    <n v="3.369999886"/>
    <n v="0"/>
    <n v="0"/>
    <n v="0"/>
    <n v="3.369999886"/>
    <n v="0"/>
    <n v="0"/>
    <n v="0"/>
    <n v="237"/>
    <n v="436"/>
    <n v="237"/>
    <n v="673"/>
    <x v="3"/>
    <n v="1747"/>
  </r>
  <r>
    <n v="5553957443"/>
    <d v="2016-05-02T00:00:00"/>
    <s v="Monday"/>
    <x v="0"/>
    <n v="9769"/>
    <n v="6.3800001139999996"/>
    <n v="6.3800001139999996"/>
    <n v="0"/>
    <n v="1.059999943"/>
    <n v="0.40999999599999998"/>
    <n v="4.9000000950000002"/>
    <n v="0"/>
    <n v="23"/>
    <n v="9"/>
    <n v="227"/>
    <n v="724"/>
    <n v="259"/>
    <n v="983"/>
    <x v="1"/>
    <n v="1996"/>
  </r>
  <r>
    <n v="5553957443"/>
    <d v="2016-05-03T00:00:00"/>
    <s v="Tuesday"/>
    <x v="0"/>
    <n v="12848"/>
    <n v="8.3900003430000005"/>
    <n v="8.3900003430000005"/>
    <n v="0"/>
    <n v="1.5"/>
    <n v="1.2000000479999999"/>
    <n v="5.6799998279999997"/>
    <n v="0"/>
    <n v="26"/>
    <n v="29"/>
    <n v="247"/>
    <n v="812"/>
    <n v="302"/>
    <n v="1114"/>
    <x v="0"/>
    <n v="2116"/>
  </r>
  <r>
    <n v="5553957443"/>
    <d v="2016-05-04T00:00:00"/>
    <s v="Wednesday"/>
    <x v="0"/>
    <n v="4249"/>
    <n v="2.7699999809999998"/>
    <n v="2.7699999809999998"/>
    <n v="0"/>
    <n v="0"/>
    <n v="0"/>
    <n v="2.7699999809999998"/>
    <n v="0"/>
    <n v="0"/>
    <n v="0"/>
    <n v="224"/>
    <n v="651"/>
    <n v="224"/>
    <n v="875"/>
    <x v="2"/>
    <n v="1698"/>
  </r>
  <r>
    <n v="5553957443"/>
    <d v="2016-05-05T00:00:00"/>
    <s v="Thursday"/>
    <x v="0"/>
    <n v="14331"/>
    <n v="9.5100002289999992"/>
    <n v="9.5100002289999992"/>
    <n v="0"/>
    <n v="3.4300000669999999"/>
    <n v="1.6599999670000001"/>
    <n v="4.4299998279999997"/>
    <n v="0"/>
    <n v="44"/>
    <n v="29"/>
    <n v="241"/>
    <n v="692"/>
    <n v="314"/>
    <n v="1006"/>
    <x v="0"/>
    <n v="2156"/>
  </r>
  <r>
    <n v="5553957443"/>
    <d v="2016-05-06T00:00:00"/>
    <s v="Friday"/>
    <x v="0"/>
    <n v="9632"/>
    <n v="6.2899999619999996"/>
    <n v="6.2899999619999996"/>
    <n v="0"/>
    <n v="1.519999981"/>
    <n v="0.540000021"/>
    <n v="4.2300000190000002"/>
    <n v="0"/>
    <n v="21"/>
    <n v="9"/>
    <n v="229"/>
    <n v="761"/>
    <n v="259"/>
    <n v="1020"/>
    <x v="1"/>
    <n v="1916"/>
  </r>
  <r>
    <n v="5553957443"/>
    <d v="2016-05-07T00:00:00"/>
    <s v="Saturday"/>
    <x v="1"/>
    <n v="1868"/>
    <n v="1.2200000289999999"/>
    <n v="1.2200000289999999"/>
    <n v="0"/>
    <n v="0"/>
    <n v="0"/>
    <n v="1.2200000289999999"/>
    <n v="0"/>
    <n v="0"/>
    <n v="0"/>
    <n v="96"/>
    <n v="902"/>
    <n v="96"/>
    <n v="998"/>
    <x v="2"/>
    <n v="1494"/>
  </r>
  <r>
    <n v="5553957443"/>
    <d v="2016-05-08T00:00:00"/>
    <s v="Sunday"/>
    <x v="1"/>
    <n v="6083"/>
    <n v="4"/>
    <n v="4"/>
    <n v="0"/>
    <n v="0.219999999"/>
    <n v="0.469999999"/>
    <n v="3.2999999519999998"/>
    <n v="0"/>
    <n v="3"/>
    <n v="8"/>
    <n v="210"/>
    <n v="505"/>
    <n v="221"/>
    <n v="726"/>
    <x v="3"/>
    <n v="1762"/>
  </r>
  <r>
    <n v="5553957443"/>
    <d v="2016-05-09T00:00:00"/>
    <s v="Monday"/>
    <x v="0"/>
    <n v="11611"/>
    <n v="7.579999924"/>
    <n v="7.579999924"/>
    <n v="0"/>
    <n v="2.130000114"/>
    <n v="0.88999998599999997"/>
    <n v="4.5599999430000002"/>
    <n v="0"/>
    <n v="59"/>
    <n v="22"/>
    <n v="251"/>
    <n v="667"/>
    <n v="332"/>
    <n v="999"/>
    <x v="0"/>
    <n v="2272"/>
  </r>
  <r>
    <n v="5553957443"/>
    <d v="2016-05-10T00:00:00"/>
    <s v="Tuesday"/>
    <x v="0"/>
    <n v="16358"/>
    <n v="10.710000040000001"/>
    <n v="10.710000040000001"/>
    <n v="0"/>
    <n v="3.869999886"/>
    <n v="1.6100000139999999"/>
    <n v="5.1999998090000004"/>
    <n v="0"/>
    <n v="61"/>
    <n v="40"/>
    <n v="265"/>
    <n v="707"/>
    <n v="366"/>
    <n v="1073"/>
    <x v="0"/>
    <n v="2335"/>
  </r>
  <r>
    <n v="5553957443"/>
    <d v="2016-05-11T00:00:00"/>
    <s v="Wednesday"/>
    <x v="0"/>
    <n v="4926"/>
    <n v="3.2200000289999999"/>
    <n v="3.2200000289999999"/>
    <n v="0"/>
    <n v="0"/>
    <n v="0"/>
    <n v="3.2200000289999999"/>
    <n v="0"/>
    <n v="0"/>
    <n v="0"/>
    <n v="195"/>
    <n v="628"/>
    <n v="195"/>
    <n v="823"/>
    <x v="2"/>
    <n v="1693"/>
  </r>
  <r>
    <n v="5577150313"/>
    <d v="2016-04-01T00:00:00"/>
    <s v="Friday"/>
    <x v="0"/>
    <n v="10461"/>
    <n v="7.8699998860000004"/>
    <n v="7.8699998860000004"/>
    <n v="0"/>
    <n v="4.7600002290000001"/>
    <n v="0.85000002399999997"/>
    <n v="2.25"/>
    <n v="0"/>
    <n v="99"/>
    <n v="31"/>
    <n v="142"/>
    <n v="721"/>
    <n v="272"/>
    <n v="993"/>
    <x v="0"/>
    <n v="3625"/>
  </r>
  <r>
    <n v="5577150313"/>
    <d v="2016-04-02T00:00:00"/>
    <s v="Saturday"/>
    <x v="1"/>
    <n v="14873"/>
    <n v="11.10999966"/>
    <n v="11.10999966"/>
    <n v="0"/>
    <n v="8.1899995800000003"/>
    <n v="0.60000002399999997"/>
    <n v="2.3099999430000002"/>
    <n v="0"/>
    <n v="202"/>
    <n v="36"/>
    <n v="153"/>
    <n v="663"/>
    <n v="391"/>
    <n v="1054"/>
    <x v="0"/>
    <n v="4430"/>
  </r>
  <r>
    <n v="5577150313"/>
    <d v="2016-04-03T00:00:00"/>
    <s v="Sunday"/>
    <x v="1"/>
    <n v="9917"/>
    <n v="7.4099998469999999"/>
    <n v="7.4099998469999999"/>
    <n v="0"/>
    <n v="1.9900000099999999"/>
    <n v="0.97000002900000004"/>
    <n v="4.4400000569999998"/>
    <n v="0"/>
    <n v="58"/>
    <n v="27"/>
    <n v="240"/>
    <n v="700"/>
    <n v="325"/>
    <n v="1025"/>
    <x v="1"/>
    <n v="3427"/>
  </r>
  <r>
    <n v="5577150313"/>
    <d v="2016-04-04T00:00:00"/>
    <s v="Monday"/>
    <x v="0"/>
    <n v="7401"/>
    <n v="5.5599999430000002"/>
    <n v="5.5599999430000002"/>
    <n v="0"/>
    <n v="2.3199999330000001"/>
    <n v="0.36000001399999998"/>
    <n v="2.880000114"/>
    <n v="0"/>
    <n v="70"/>
    <n v="19"/>
    <n v="204"/>
    <n v="689"/>
    <n v="293"/>
    <n v="982"/>
    <x v="3"/>
    <n v="3492"/>
  </r>
  <r>
    <n v="5577150313"/>
    <d v="2016-04-05T00:00:00"/>
    <s v="Tuesday"/>
    <x v="0"/>
    <n v="8964"/>
    <n v="6.6999998090000004"/>
    <n v="6.6999998090000004"/>
    <n v="0"/>
    <n v="3.9700000289999999"/>
    <n v="0.189999998"/>
    <n v="2.5299999710000001"/>
    <n v="0"/>
    <n v="107"/>
    <n v="18"/>
    <n v="145"/>
    <n v="756"/>
    <n v="270"/>
    <n v="1026"/>
    <x v="1"/>
    <n v="3597"/>
  </r>
  <r>
    <n v="5577150313"/>
    <d v="2016-04-06T00:00:00"/>
    <s v="Wednesday"/>
    <x v="0"/>
    <n v="11080"/>
    <n v="8.3000001910000005"/>
    <n v="8.3000001910000005"/>
    <n v="0"/>
    <n v="3.130000114"/>
    <n v="1.3700000050000001"/>
    <n v="3.8099999430000002"/>
    <n v="0"/>
    <n v="83"/>
    <n v="52"/>
    <n v="190"/>
    <n v="695"/>
    <n v="325"/>
    <n v="1020"/>
    <x v="0"/>
    <n v="3765"/>
  </r>
  <r>
    <n v="5577150313"/>
    <d v="2016-04-07T00:00:00"/>
    <s v="Thursday"/>
    <x v="0"/>
    <n v="4499"/>
    <n v="3.3599998950000001"/>
    <n v="3.3599998950000001"/>
    <n v="0"/>
    <n v="0.88999998599999997"/>
    <n v="0.25999999000000001"/>
    <n v="2.210000038"/>
    <n v="0"/>
    <n v="31"/>
    <n v="11"/>
    <n v="146"/>
    <n v="756"/>
    <n v="188"/>
    <n v="944"/>
    <x v="2"/>
    <n v="2775"/>
  </r>
  <r>
    <n v="5577150313"/>
    <d v="2016-04-08T00:00:00"/>
    <s v="Friday"/>
    <x v="0"/>
    <n v="4363"/>
    <n v="3.2599999899999998"/>
    <n v="3.2599999899999998"/>
    <n v="0"/>
    <n v="0.12999999500000001"/>
    <n v="5.9999998999999998E-2"/>
    <n v="3.079999924"/>
    <n v="0"/>
    <n v="8"/>
    <n v="2"/>
    <n v="156"/>
    <n v="813"/>
    <n v="166"/>
    <n v="979"/>
    <x v="2"/>
    <n v="2486"/>
  </r>
  <r>
    <n v="5577150313"/>
    <d v="2016-04-09T00:00:00"/>
    <s v="Saturday"/>
    <x v="1"/>
    <n v="10494"/>
    <n v="7.8400001530000001"/>
    <n v="7.8400001530000001"/>
    <n v="0"/>
    <n v="4.9099998469999999"/>
    <n v="0.77999997099999996"/>
    <n v="2.1500000950000002"/>
    <n v="0"/>
    <n v="123"/>
    <n v="62"/>
    <n v="138"/>
    <n v="601"/>
    <n v="323"/>
    <n v="924"/>
    <x v="0"/>
    <n v="3817"/>
  </r>
  <r>
    <n v="5577150313"/>
    <d v="2016-04-10T00:00:00"/>
    <s v="Sunday"/>
    <x v="1"/>
    <n v="9776"/>
    <n v="7.3800001139999996"/>
    <n v="7.3800001139999996"/>
    <n v="0"/>
    <n v="2.9300000669999999"/>
    <n v="1.4299999480000001"/>
    <n v="3.0199999809999998"/>
    <n v="0"/>
    <n v="80"/>
    <n v="35"/>
    <n v="162"/>
    <n v="721"/>
    <n v="277"/>
    <n v="998"/>
    <x v="1"/>
    <n v="3378"/>
  </r>
  <r>
    <n v="5577150313"/>
    <d v="2016-04-12T00:00:00"/>
    <s v="Tuesday"/>
    <x v="0"/>
    <n v="8135"/>
    <n v="6.079999924"/>
    <n v="6.079999924"/>
    <n v="0"/>
    <n v="3.5999999049999998"/>
    <n v="0.37999999499999998"/>
    <n v="2.0999999049999998"/>
    <n v="0"/>
    <n v="86"/>
    <n v="16"/>
    <n v="140"/>
    <n v="728"/>
    <n v="242"/>
    <n v="970"/>
    <x v="1"/>
    <n v="3405"/>
  </r>
  <r>
    <n v="5577150313"/>
    <d v="2016-04-13T00:00:00"/>
    <s v="Wednesday"/>
    <x v="0"/>
    <n v="5077"/>
    <n v="3.789999962"/>
    <n v="3.789999962"/>
    <n v="0"/>
    <n v="0.31999999299999998"/>
    <n v="0.219999999"/>
    <n v="3.25"/>
    <n v="0"/>
    <n v="15"/>
    <n v="11"/>
    <n v="144"/>
    <n v="776"/>
    <n v="170"/>
    <n v="946"/>
    <x v="3"/>
    <n v="2551"/>
  </r>
  <r>
    <n v="5577150313"/>
    <d v="2016-04-14T00:00:00"/>
    <s v="Thursday"/>
    <x v="0"/>
    <n v="8596"/>
    <n v="6.420000076"/>
    <n v="6.420000076"/>
    <n v="0"/>
    <n v="3.329999924"/>
    <n v="0.310000002"/>
    <n v="2.7799999710000001"/>
    <n v="0"/>
    <n v="118"/>
    <n v="30"/>
    <n v="176"/>
    <n v="662"/>
    <n v="324"/>
    <n v="986"/>
    <x v="1"/>
    <n v="4022"/>
  </r>
  <r>
    <n v="5577150313"/>
    <d v="2016-04-15T00:00:00"/>
    <s v="Friday"/>
    <x v="0"/>
    <n v="12087"/>
    <n v="9.0799999239999991"/>
    <n v="9.0799999239999991"/>
    <n v="0"/>
    <n v="3.920000076"/>
    <n v="1.6000000240000001"/>
    <n v="3.5599999430000002"/>
    <n v="0"/>
    <n v="115"/>
    <n v="54"/>
    <n v="199"/>
    <n v="695"/>
    <n v="368"/>
    <n v="1063"/>
    <x v="0"/>
    <n v="4005"/>
  </r>
  <r>
    <n v="5577150313"/>
    <d v="2016-04-16T00:00:00"/>
    <s v="Saturday"/>
    <x v="1"/>
    <n v="14269"/>
    <n v="10.65999985"/>
    <n v="10.65999985"/>
    <n v="0"/>
    <n v="6.6399998660000001"/>
    <n v="1.2799999710000001"/>
    <n v="2.7300000190000002"/>
    <n v="0"/>
    <n v="184"/>
    <n v="56"/>
    <n v="158"/>
    <n v="472"/>
    <n v="398"/>
    <n v="870"/>
    <x v="0"/>
    <n v="4274"/>
  </r>
  <r>
    <n v="5577150313"/>
    <d v="2016-04-17T00:00:00"/>
    <s v="Sunday"/>
    <x v="1"/>
    <n v="12231"/>
    <n v="9.1400003430000005"/>
    <n v="9.1400003430000005"/>
    <n v="0"/>
    <n v="5.9800000190000002"/>
    <n v="0.829999983"/>
    <n v="2.3199999330000001"/>
    <n v="0"/>
    <n v="200"/>
    <n v="37"/>
    <n v="159"/>
    <n v="525"/>
    <n v="396"/>
    <n v="921"/>
    <x v="0"/>
    <n v="4552"/>
  </r>
  <r>
    <n v="5577150313"/>
    <d v="2016-04-18T00:00:00"/>
    <s v="Monday"/>
    <x v="0"/>
    <n v="9893"/>
    <n v="7.3899998660000001"/>
    <n v="7.3899998660000001"/>
    <n v="0"/>
    <n v="4.8600001339999999"/>
    <n v="0.72000002900000004"/>
    <n v="1.8200000519999999"/>
    <n v="0"/>
    <n v="114"/>
    <n v="32"/>
    <n v="130"/>
    <n v="623"/>
    <n v="276"/>
    <n v="899"/>
    <x v="1"/>
    <n v="3625"/>
  </r>
  <r>
    <n v="5577150313"/>
    <d v="2016-04-19T00:00:00"/>
    <s v="Tuesday"/>
    <x v="0"/>
    <n v="12574"/>
    <n v="9.4200000760000009"/>
    <n v="9.4200000760000009"/>
    <n v="0"/>
    <n v="7.0199999809999998"/>
    <n v="0.63999998599999997"/>
    <n v="1.7599999900000001"/>
    <n v="0"/>
    <n v="108"/>
    <n v="23"/>
    <n v="111"/>
    <n v="733"/>
    <n v="242"/>
    <n v="975"/>
    <x v="0"/>
    <n v="3501"/>
  </r>
  <r>
    <n v="5577150313"/>
    <d v="2016-04-20T00:00:00"/>
    <s v="Wednesday"/>
    <x v="0"/>
    <n v="8330"/>
    <n v="6.2199997900000001"/>
    <n v="6.2199997900000001"/>
    <n v="0"/>
    <n v="4.1199998860000004"/>
    <n v="0.34000000400000002"/>
    <n v="1.7599999900000001"/>
    <n v="0"/>
    <n v="87"/>
    <n v="16"/>
    <n v="113"/>
    <n v="773"/>
    <n v="216"/>
    <n v="989"/>
    <x v="1"/>
    <n v="3192"/>
  </r>
  <r>
    <n v="5577150313"/>
    <d v="2016-04-21T00:00:00"/>
    <s v="Thursday"/>
    <x v="0"/>
    <n v="10830"/>
    <n v="8.0900001530000001"/>
    <n v="8.0900001530000001"/>
    <n v="0"/>
    <n v="3.6500000950000002"/>
    <n v="1.6599999670000001"/>
    <n v="2.7799999710000001"/>
    <n v="0"/>
    <n v="110"/>
    <n v="74"/>
    <n v="175"/>
    <n v="670"/>
    <n v="359"/>
    <n v="1029"/>
    <x v="0"/>
    <n v="4018"/>
  </r>
  <r>
    <n v="5577150313"/>
    <d v="2016-04-22T00:00:00"/>
    <s v="Friday"/>
    <x v="0"/>
    <n v="9172"/>
    <n v="6.8499999049999998"/>
    <n v="6.8499999049999998"/>
    <n v="0"/>
    <n v="2.420000076"/>
    <n v="0.790000021"/>
    <n v="3.2999999519999998"/>
    <n v="0"/>
    <n v="62"/>
    <n v="30"/>
    <n v="200"/>
    <n v="823"/>
    <n v="292"/>
    <n v="1115"/>
    <x v="1"/>
    <n v="3329"/>
  </r>
  <r>
    <n v="5577150313"/>
    <d v="2016-04-23T00:00:00"/>
    <s v="Saturday"/>
    <x v="1"/>
    <n v="7638"/>
    <n v="5.7100000380000004"/>
    <n v="5.7100000380000004"/>
    <n v="0"/>
    <n v="1.210000038"/>
    <n v="0.36000001399999998"/>
    <n v="4.1399998660000001"/>
    <n v="0"/>
    <n v="24"/>
    <n v="24"/>
    <n v="223"/>
    <n v="627"/>
    <n v="271"/>
    <n v="898"/>
    <x v="1"/>
    <n v="3152"/>
  </r>
  <r>
    <n v="5577150313"/>
    <d v="2016-04-24T00:00:00"/>
    <s v="Sunday"/>
    <x v="1"/>
    <n v="15764"/>
    <n v="11.77999973"/>
    <n v="11.77999973"/>
    <n v="0"/>
    <n v="7.6500000950000002"/>
    <n v="2.1500000950000002"/>
    <n v="1.980000019"/>
    <n v="0"/>
    <n v="210"/>
    <n v="65"/>
    <n v="141"/>
    <n v="425"/>
    <n v="416"/>
    <n v="841"/>
    <x v="0"/>
    <n v="4392"/>
  </r>
  <r>
    <n v="5577150313"/>
    <d v="2016-04-25T00:00:00"/>
    <s v="Monday"/>
    <x v="0"/>
    <n v="6393"/>
    <n v="4.7800002099999999"/>
    <n v="4.7800002099999999"/>
    <n v="0"/>
    <n v="1.3500000240000001"/>
    <n v="0.670000017"/>
    <n v="2.7599999899999998"/>
    <n v="0"/>
    <n v="61"/>
    <n v="38"/>
    <n v="214"/>
    <n v="743"/>
    <n v="313"/>
    <n v="1056"/>
    <x v="3"/>
    <n v="3374"/>
  </r>
  <r>
    <n v="5577150313"/>
    <d v="2016-04-26T00:00:00"/>
    <s v="Tuesday"/>
    <x v="0"/>
    <n v="5325"/>
    <n v="3.9800000190000002"/>
    <n v="3.9800000190000002"/>
    <n v="0"/>
    <n v="0.85000002399999997"/>
    <n v="0.64999997600000003"/>
    <n v="2.4700000289999999"/>
    <n v="0"/>
    <n v="38"/>
    <n v="32"/>
    <n v="181"/>
    <n v="759"/>
    <n v="251"/>
    <n v="1010"/>
    <x v="3"/>
    <n v="3088"/>
  </r>
  <r>
    <n v="5577150313"/>
    <d v="2016-04-27T00:00:00"/>
    <s v="Wednesday"/>
    <x v="0"/>
    <n v="6805"/>
    <n v="5.1399998660000001"/>
    <n v="5.1399998660000001"/>
    <n v="0"/>
    <n v="1.809999943"/>
    <n v="0.40000000600000002"/>
    <n v="2.9300000669999999"/>
    <n v="0"/>
    <n v="63"/>
    <n v="16"/>
    <n v="190"/>
    <n v="773"/>
    <n v="269"/>
    <n v="1042"/>
    <x v="3"/>
    <n v="3294"/>
  </r>
  <r>
    <n v="5577150313"/>
    <d v="2016-04-28T00:00:00"/>
    <s v="Thursday"/>
    <x v="0"/>
    <n v="9841"/>
    <n v="7.4299998279999997"/>
    <n v="7.4299998279999997"/>
    <n v="0"/>
    <n v="3.25"/>
    <n v="1.1699999569999999"/>
    <n v="3.0099999899999998"/>
    <n v="0"/>
    <n v="99"/>
    <n v="51"/>
    <n v="141"/>
    <n v="692"/>
    <n v="291"/>
    <n v="983"/>
    <x v="1"/>
    <n v="3580"/>
  </r>
  <r>
    <n v="5577150313"/>
    <d v="2016-04-29T00:00:00"/>
    <s v="Friday"/>
    <x v="0"/>
    <n v="7924"/>
    <n v="5.920000076"/>
    <n v="5.920000076"/>
    <n v="0"/>
    <n v="2.8399999139999998"/>
    <n v="0.61000001400000003"/>
    <n v="2.4700000289999999"/>
    <n v="0"/>
    <n v="97"/>
    <n v="36"/>
    <n v="165"/>
    <n v="739"/>
    <n v="298"/>
    <n v="1037"/>
    <x v="1"/>
    <n v="3544"/>
  </r>
  <r>
    <n v="5577150313"/>
    <d v="2016-04-30T00:00:00"/>
    <s v="Saturday"/>
    <x v="1"/>
    <n v="12363"/>
    <n v="9.2399997710000008"/>
    <n v="9.2399997710000008"/>
    <n v="0"/>
    <n v="5.829999924"/>
    <n v="0.790000021"/>
    <n v="2.6099998950000001"/>
    <n v="0"/>
    <n v="207"/>
    <n v="45"/>
    <n v="163"/>
    <n v="621"/>
    <n v="415"/>
    <n v="1036"/>
    <x v="0"/>
    <n v="4501"/>
  </r>
  <r>
    <n v="5577150313"/>
    <d v="2016-05-01T00:00:00"/>
    <s v="Sunday"/>
    <x v="1"/>
    <n v="13368"/>
    <n v="9.9899997710000008"/>
    <n v="9.9899997710000008"/>
    <n v="0"/>
    <n v="5.3099999430000002"/>
    <n v="1.440000057"/>
    <n v="3.2400000100000002"/>
    <n v="0"/>
    <n v="194"/>
    <n v="72"/>
    <n v="178"/>
    <n v="499"/>
    <n v="444"/>
    <n v="943"/>
    <x v="0"/>
    <n v="4546"/>
  </r>
  <r>
    <n v="5577150313"/>
    <d v="2016-05-02T00:00:00"/>
    <s v="Monday"/>
    <x v="0"/>
    <n v="7439"/>
    <n v="5.5599999430000002"/>
    <n v="5.5599999430000002"/>
    <n v="0"/>
    <n v="1.1200000050000001"/>
    <n v="0.34999999399999998"/>
    <n v="4.0700001720000003"/>
    <n v="0"/>
    <n v="37"/>
    <n v="20"/>
    <n v="235"/>
    <n v="732"/>
    <n v="292"/>
    <n v="1024"/>
    <x v="3"/>
    <n v="3014"/>
  </r>
  <r>
    <n v="5577150313"/>
    <d v="2016-05-03T00:00:00"/>
    <s v="Tuesday"/>
    <x v="0"/>
    <n v="11045"/>
    <n v="8.25"/>
    <n v="8.25"/>
    <n v="0"/>
    <n v="4.5199999809999998"/>
    <n v="0.15000000599999999"/>
    <n v="3.5699999330000001"/>
    <n v="0"/>
    <n v="97"/>
    <n v="8"/>
    <n v="212"/>
    <n v="580"/>
    <n v="317"/>
    <n v="897"/>
    <x v="0"/>
    <n v="3795"/>
  </r>
  <r>
    <n v="5577150313"/>
    <d v="2016-05-04T00:00:00"/>
    <s v="Wednesday"/>
    <x v="0"/>
    <n v="5206"/>
    <n v="3.8900001049999999"/>
    <n v="3.8900001049999999"/>
    <n v="0"/>
    <n v="1.559999943"/>
    <n v="0.25"/>
    <n v="2.079999924"/>
    <n v="0"/>
    <n v="25"/>
    <n v="9"/>
    <n v="141"/>
    <n v="631"/>
    <n v="175"/>
    <n v="806"/>
    <x v="3"/>
    <n v="2755"/>
  </r>
  <r>
    <n v="5577150313"/>
    <d v="2016-05-05T00:00:00"/>
    <s v="Thursday"/>
    <x v="0"/>
    <n v="7550"/>
    <n v="5.6399998660000001"/>
    <n v="5.6399998660000001"/>
    <n v="0"/>
    <n v="2.5"/>
    <n v="0.469999999"/>
    <n v="2.670000076"/>
    <n v="0"/>
    <n v="45"/>
    <n v="21"/>
    <n v="143"/>
    <n v="1153"/>
    <n v="209"/>
    <n v="1362"/>
    <x v="1"/>
    <n v="3004"/>
  </r>
  <r>
    <n v="5577150313"/>
    <d v="2016-05-06T00:00:00"/>
    <s v="Friday"/>
    <x v="0"/>
    <n v="4950"/>
    <n v="3.7000000480000002"/>
    <n v="3.7000000480000002"/>
    <n v="0"/>
    <n v="1.9299999480000001"/>
    <n v="0.31999999299999998"/>
    <n v="1.4500000479999999"/>
    <n v="0"/>
    <n v="41"/>
    <n v="16"/>
    <n v="79"/>
    <n v="1304"/>
    <n v="136"/>
    <n v="1440"/>
    <x v="2"/>
    <n v="2643"/>
  </r>
  <r>
    <n v="5577150313"/>
    <d v="2016-05-09T00:00:00"/>
    <s v="Monday"/>
    <x v="0"/>
    <n v="3421"/>
    <n v="2.5599999430000002"/>
    <n v="2.5599999430000002"/>
    <n v="0"/>
    <n v="1.4299999480000001"/>
    <n v="0.14000000100000001"/>
    <n v="0.99000001000000004"/>
    <n v="0"/>
    <n v="34"/>
    <n v="11"/>
    <n v="70"/>
    <n v="1099"/>
    <n v="115"/>
    <n v="1214"/>
    <x v="2"/>
    <n v="2489"/>
  </r>
  <r>
    <n v="5577150313"/>
    <d v="2016-05-10T00:00:00"/>
    <s v="Tuesday"/>
    <x v="0"/>
    <n v="8869"/>
    <n v="6.6500000950000002"/>
    <n v="6.6500000950000002"/>
    <n v="0"/>
    <n v="2.5599999430000002"/>
    <n v="0.75"/>
    <n v="3.3499999049999998"/>
    <n v="0"/>
    <n v="104"/>
    <n v="37"/>
    <n v="194"/>
    <n v="639"/>
    <n v="335"/>
    <n v="974"/>
    <x v="1"/>
    <n v="3841"/>
  </r>
  <r>
    <n v="6117666160"/>
    <d v="2016-04-01T00:00:00"/>
    <s v="Friday"/>
    <x v="0"/>
    <n v="7444"/>
    <n v="5.6199998860000004"/>
    <n v="5.6199998860000004"/>
    <n v="0"/>
    <n v="0"/>
    <n v="0"/>
    <n v="5.6199998860000004"/>
    <n v="0"/>
    <n v="0"/>
    <n v="0"/>
    <n v="286"/>
    <n v="568"/>
    <n v="286"/>
    <n v="854"/>
    <x v="3"/>
    <n v="2210"/>
  </r>
  <r>
    <n v="6117666160"/>
    <d v="2016-04-02T00:00:00"/>
    <s v="Saturday"/>
    <x v="1"/>
    <n v="19658"/>
    <n v="14.84000015"/>
    <n v="14.84000015"/>
    <n v="0"/>
    <n v="0.23999999499999999"/>
    <n v="2.0899999139999998"/>
    <n v="12.510000229999999"/>
    <n v="0"/>
    <n v="3"/>
    <n v="30"/>
    <n v="475"/>
    <n v="466"/>
    <n v="508"/>
    <n v="974"/>
    <x v="0"/>
    <n v="2884"/>
  </r>
  <r>
    <n v="6117666160"/>
    <d v="2016-04-04T00:00:00"/>
    <s v="Monday"/>
    <x v="0"/>
    <n v="8468"/>
    <n v="6.3899998660000001"/>
    <n v="6.3899998660000001"/>
    <n v="0"/>
    <n v="0.18000000699999999"/>
    <n v="0.63999998599999997"/>
    <n v="5.5700001720000003"/>
    <n v="0"/>
    <n v="2"/>
    <n v="11"/>
    <n v="279"/>
    <n v="1148"/>
    <n v="292"/>
    <n v="1440"/>
    <x v="1"/>
    <n v="2262"/>
  </r>
  <r>
    <n v="6117666160"/>
    <d v="2016-04-05T00:00:00"/>
    <s v="Tuesday"/>
    <x v="0"/>
    <n v="9910"/>
    <n v="7.4800000190000002"/>
    <n v="7.4800000190000002"/>
    <n v="0"/>
    <n v="0"/>
    <n v="0"/>
    <n v="7.4800000190000002"/>
    <n v="0"/>
    <n v="0"/>
    <n v="0"/>
    <n v="384"/>
    <n v="990"/>
    <n v="384"/>
    <n v="1374"/>
    <x v="1"/>
    <n v="2445"/>
  </r>
  <r>
    <n v="6117666160"/>
    <d v="2016-04-06T00:00:00"/>
    <s v="Wednesday"/>
    <x v="0"/>
    <n v="12409"/>
    <n v="9.3699998860000004"/>
    <n v="9.3699998860000004"/>
    <n v="0"/>
    <n v="0"/>
    <n v="0"/>
    <n v="9.3699998860000004"/>
    <n v="0"/>
    <n v="0"/>
    <n v="0"/>
    <n v="491"/>
    <n v="388"/>
    <n v="491"/>
    <n v="879"/>
    <x v="0"/>
    <n v="2694"/>
  </r>
  <r>
    <n v="6117666160"/>
    <d v="2016-04-07T00:00:00"/>
    <s v="Thursday"/>
    <x v="0"/>
    <n v="4853"/>
    <n v="3.6600000860000002"/>
    <n v="3.6600000860000002"/>
    <n v="0"/>
    <n v="0"/>
    <n v="0"/>
    <n v="3.6600000860000002"/>
    <n v="0"/>
    <n v="0"/>
    <n v="0"/>
    <n v="156"/>
    <n v="770"/>
    <n v="156"/>
    <n v="926"/>
    <x v="2"/>
    <n v="1903"/>
  </r>
  <r>
    <n v="6117666160"/>
    <d v="2016-04-08T00:00:00"/>
    <s v="Friday"/>
    <x v="0"/>
    <n v="8955"/>
    <n v="6.7600002290000001"/>
    <n v="6.7600002290000001"/>
    <n v="0"/>
    <n v="0"/>
    <n v="0"/>
    <n v="6.7300000190000002"/>
    <n v="0"/>
    <n v="0"/>
    <n v="0"/>
    <n v="422"/>
    <n v="1018"/>
    <n v="422"/>
    <n v="1440"/>
    <x v="1"/>
    <n v="2482"/>
  </r>
  <r>
    <n v="6117666160"/>
    <d v="2016-04-09T00:00:00"/>
    <s v="Saturday"/>
    <x v="1"/>
    <n v="10789"/>
    <n v="8.1499996190000008"/>
    <n v="8.1499996190000008"/>
    <n v="0"/>
    <n v="0"/>
    <n v="0"/>
    <n v="8.1499996190000008"/>
    <n v="0"/>
    <n v="0"/>
    <n v="0"/>
    <n v="506"/>
    <n v="413"/>
    <n v="506"/>
    <n v="919"/>
    <x v="0"/>
    <n v="2617"/>
  </r>
  <r>
    <n v="6117666160"/>
    <d v="2016-04-15T00:00:00"/>
    <s v="Friday"/>
    <x v="0"/>
    <n v="14019"/>
    <n v="10.59000015"/>
    <n v="10.59000015"/>
    <n v="0"/>
    <n v="0"/>
    <n v="0.280000001"/>
    <n v="10.30000019"/>
    <n v="0"/>
    <n v="0"/>
    <n v="6"/>
    <n v="513"/>
    <n v="921"/>
    <n v="519"/>
    <n v="1440"/>
    <x v="0"/>
    <n v="2865"/>
  </r>
  <r>
    <n v="6117666160"/>
    <d v="2016-04-16T00:00:00"/>
    <s v="Saturday"/>
    <x v="1"/>
    <n v="14450"/>
    <n v="10.90999985"/>
    <n v="10.90999985"/>
    <n v="0"/>
    <n v="0.579999983"/>
    <n v="0.85000002399999997"/>
    <n v="9.4799995419999998"/>
    <n v="0"/>
    <n v="7"/>
    <n v="15"/>
    <n v="518"/>
    <n v="502"/>
    <n v="540"/>
    <n v="1042"/>
    <x v="0"/>
    <n v="2828"/>
  </r>
  <r>
    <n v="6117666160"/>
    <d v="2016-04-17T00:00:00"/>
    <s v="Sunday"/>
    <x v="1"/>
    <n v="7150"/>
    <n v="5.4000000950000002"/>
    <n v="5.4000000950000002"/>
    <n v="0"/>
    <n v="0"/>
    <n v="0"/>
    <n v="5.4000000950000002"/>
    <n v="0"/>
    <n v="0"/>
    <n v="0"/>
    <n v="312"/>
    <n v="702"/>
    <n v="312"/>
    <n v="1014"/>
    <x v="3"/>
    <n v="2225"/>
  </r>
  <r>
    <n v="6117666160"/>
    <d v="2016-04-18T00:00:00"/>
    <s v="Monday"/>
    <x v="0"/>
    <n v="5153"/>
    <n v="3.9100000860000002"/>
    <n v="3.9100000860000002"/>
    <n v="0"/>
    <n v="0"/>
    <n v="0"/>
    <n v="3.8900001049999999"/>
    <n v="0"/>
    <n v="0"/>
    <n v="0"/>
    <n v="241"/>
    <n v="759"/>
    <n v="241"/>
    <n v="1000"/>
    <x v="3"/>
    <n v="2018"/>
  </r>
  <r>
    <n v="6117666160"/>
    <d v="2016-04-19T00:00:00"/>
    <s v="Tuesday"/>
    <x v="0"/>
    <n v="11135"/>
    <n v="8.4099998469999999"/>
    <n v="8.4099998469999999"/>
    <n v="0"/>
    <n v="0"/>
    <n v="0"/>
    <n v="8.4099998469999999"/>
    <n v="0"/>
    <n v="0"/>
    <n v="0"/>
    <n v="480"/>
    <n v="425"/>
    <n v="480"/>
    <n v="905"/>
    <x v="0"/>
    <n v="2606"/>
  </r>
  <r>
    <n v="6117666160"/>
    <d v="2016-04-20T00:00:00"/>
    <s v="Wednesday"/>
    <x v="0"/>
    <n v="10449"/>
    <n v="8.0200004580000002"/>
    <n v="8.0200004580000002"/>
    <n v="0"/>
    <n v="2.0299999710000001"/>
    <n v="0.47999998900000002"/>
    <n v="5.5199999809999998"/>
    <n v="0"/>
    <n v="26"/>
    <n v="10"/>
    <n v="349"/>
    <n v="587"/>
    <n v="385"/>
    <n v="972"/>
    <x v="0"/>
    <n v="2536"/>
  </r>
  <r>
    <n v="6117666160"/>
    <d v="2016-04-21T00:00:00"/>
    <s v="Thursday"/>
    <x v="0"/>
    <n v="19542"/>
    <n v="15.010000229999999"/>
    <n v="15.010000229999999"/>
    <n v="0"/>
    <n v="0.980000019"/>
    <n v="0.40000000600000002"/>
    <n v="5.6199998860000004"/>
    <n v="0"/>
    <n v="11"/>
    <n v="19"/>
    <n v="294"/>
    <n v="579"/>
    <n v="324"/>
    <n v="903"/>
    <x v="0"/>
    <n v="4900"/>
  </r>
  <r>
    <n v="6117666160"/>
    <d v="2016-04-22T00:00:00"/>
    <s v="Friday"/>
    <x v="0"/>
    <n v="8206"/>
    <n v="6.1999998090000004"/>
    <n v="6.1999998090000004"/>
    <n v="0"/>
    <n v="0"/>
    <n v="0"/>
    <n v="6.1999998090000004"/>
    <n v="0"/>
    <n v="0"/>
    <n v="0"/>
    <n v="402"/>
    <n v="413"/>
    <n v="402"/>
    <n v="815"/>
    <x v="1"/>
    <n v="2409"/>
  </r>
  <r>
    <n v="6117666160"/>
    <d v="2016-04-23T00:00:00"/>
    <s v="Saturday"/>
    <x v="1"/>
    <n v="11495"/>
    <n v="8.6800003050000001"/>
    <n v="8.6800003050000001"/>
    <n v="0"/>
    <n v="0"/>
    <n v="0"/>
    <n v="8.6800003050000001"/>
    <n v="0"/>
    <n v="0"/>
    <n v="0"/>
    <n v="512"/>
    <n v="468"/>
    <n v="512"/>
    <n v="980"/>
    <x v="0"/>
    <n v="2651"/>
  </r>
  <r>
    <n v="6117666160"/>
    <d v="2016-04-24T00:00:00"/>
    <s v="Sunday"/>
    <x v="1"/>
    <n v="7623"/>
    <n v="5.7600002290000001"/>
    <n v="5.7600002290000001"/>
    <n v="0"/>
    <n v="0"/>
    <n v="0"/>
    <n v="5.7600002290000001"/>
    <n v="0"/>
    <n v="0"/>
    <n v="0"/>
    <n v="362"/>
    <n v="711"/>
    <n v="362"/>
    <n v="1073"/>
    <x v="1"/>
    <n v="2305"/>
  </r>
  <r>
    <n v="6117666160"/>
    <d v="2016-04-26T00:00:00"/>
    <s v="Tuesday"/>
    <x v="0"/>
    <n v="9543"/>
    <n v="7.2100000380000004"/>
    <n v="7.2100000380000004"/>
    <n v="0"/>
    <n v="0"/>
    <n v="0.34000000400000002"/>
    <n v="6.8699998860000004"/>
    <n v="0"/>
    <n v="0"/>
    <n v="7"/>
    <n v="352"/>
    <n v="1077"/>
    <n v="359"/>
    <n v="1436"/>
    <x v="1"/>
    <n v="2450"/>
  </r>
  <r>
    <n v="6117666160"/>
    <d v="2016-04-27T00:00:00"/>
    <s v="Wednesday"/>
    <x v="0"/>
    <n v="9411"/>
    <n v="7.1100001339999999"/>
    <n v="7.1100001339999999"/>
    <n v="0"/>
    <n v="0"/>
    <n v="0"/>
    <n v="7.1100001339999999"/>
    <n v="0"/>
    <n v="0"/>
    <n v="0"/>
    <n v="458"/>
    <n v="417"/>
    <n v="458"/>
    <n v="875"/>
    <x v="1"/>
    <n v="2576"/>
  </r>
  <r>
    <n v="6117666160"/>
    <d v="2016-04-28T00:00:00"/>
    <s v="Thursday"/>
    <x v="0"/>
    <n v="3403"/>
    <n v="2.5999999049999998"/>
    <n v="2.5999999049999998"/>
    <n v="0"/>
    <n v="0"/>
    <n v="0"/>
    <n v="2.5999999049999998"/>
    <n v="0"/>
    <n v="0"/>
    <n v="0"/>
    <n v="141"/>
    <n v="758"/>
    <n v="141"/>
    <n v="899"/>
    <x v="2"/>
    <n v="1879"/>
  </r>
  <r>
    <n v="6117666160"/>
    <d v="2016-04-29T00:00:00"/>
    <s v="Friday"/>
    <x v="0"/>
    <n v="9592"/>
    <n v="7.2399997709999999"/>
    <n v="7.2399997709999999"/>
    <n v="0"/>
    <n v="0"/>
    <n v="0"/>
    <n v="7.2399997709999999"/>
    <n v="0"/>
    <n v="0"/>
    <n v="0"/>
    <n v="461"/>
    <n v="479"/>
    <n v="461"/>
    <n v="940"/>
    <x v="1"/>
    <n v="2560"/>
  </r>
  <r>
    <n v="6117666160"/>
    <d v="2016-04-30T00:00:00"/>
    <s v="Saturday"/>
    <x v="1"/>
    <n v="6987"/>
    <n v="5.2800002099999999"/>
    <n v="5.2800002099999999"/>
    <n v="0"/>
    <n v="0"/>
    <n v="0"/>
    <n v="5.2800002099999999"/>
    <n v="0"/>
    <n v="0"/>
    <n v="0"/>
    <n v="343"/>
    <n v="1040"/>
    <n v="343"/>
    <n v="1383"/>
    <x v="3"/>
    <n v="2275"/>
  </r>
  <r>
    <n v="6117666160"/>
    <d v="2016-05-01T00:00:00"/>
    <s v="Sunday"/>
    <x v="1"/>
    <n v="8915"/>
    <n v="6.7300000190000002"/>
    <n v="6.7300000190000002"/>
    <n v="0"/>
    <n v="0"/>
    <n v="0"/>
    <n v="6.7300000190000002"/>
    <n v="0"/>
    <n v="0"/>
    <n v="0"/>
    <n v="397"/>
    <n v="525"/>
    <n v="397"/>
    <n v="922"/>
    <x v="1"/>
    <n v="2361"/>
  </r>
  <r>
    <n v="6117666160"/>
    <d v="2016-05-02T00:00:00"/>
    <s v="Monday"/>
    <x v="0"/>
    <n v="4933"/>
    <n v="3.7300000190000002"/>
    <n v="3.7300000190000002"/>
    <n v="0"/>
    <n v="0"/>
    <n v="0"/>
    <n v="3.7300000190000002"/>
    <n v="0"/>
    <n v="0"/>
    <n v="0"/>
    <n v="236"/>
    <n v="1204"/>
    <n v="236"/>
    <n v="1440"/>
    <x v="2"/>
    <n v="2044"/>
  </r>
  <r>
    <n v="6117666160"/>
    <d v="2016-05-04T00:00:00"/>
    <s v="Wednesday"/>
    <x v="0"/>
    <n v="2997"/>
    <n v="2.2599999899999998"/>
    <n v="2.2599999899999998"/>
    <n v="0"/>
    <n v="0"/>
    <n v="0"/>
    <n v="2.2599999899999998"/>
    <n v="0"/>
    <n v="0"/>
    <n v="0"/>
    <n v="156"/>
    <n v="1279"/>
    <n v="156"/>
    <n v="1435"/>
    <x v="2"/>
    <n v="1902"/>
  </r>
  <r>
    <n v="6117666160"/>
    <d v="2016-05-05T00:00:00"/>
    <s v="Thursday"/>
    <x v="0"/>
    <n v="9799"/>
    <n v="7.4000000950000002"/>
    <n v="7.4000000950000002"/>
    <n v="0"/>
    <n v="0"/>
    <n v="0"/>
    <n v="7.4000000950000002"/>
    <n v="0"/>
    <n v="0"/>
    <n v="0"/>
    <n v="487"/>
    <n v="479"/>
    <n v="487"/>
    <n v="966"/>
    <x v="1"/>
    <n v="2636"/>
  </r>
  <r>
    <n v="6117666160"/>
    <d v="2016-05-06T00:00:00"/>
    <s v="Friday"/>
    <x v="0"/>
    <n v="3365"/>
    <n v="2.6800000669999999"/>
    <n v="2.6800000669999999"/>
    <n v="0"/>
    <n v="0"/>
    <n v="0"/>
    <n v="2.6800000669999999"/>
    <n v="0"/>
    <n v="0"/>
    <n v="0"/>
    <n v="133"/>
    <n v="673"/>
    <n v="133"/>
    <n v="806"/>
    <x v="2"/>
    <n v="1838"/>
  </r>
  <r>
    <n v="6117666160"/>
    <d v="2016-05-07T00:00:00"/>
    <s v="Saturday"/>
    <x v="1"/>
    <n v="7336"/>
    <n v="5.5399999619999996"/>
    <n v="5.5399999619999996"/>
    <n v="0"/>
    <n v="0"/>
    <n v="0"/>
    <n v="5.5399999619999996"/>
    <n v="0"/>
    <n v="0"/>
    <n v="0"/>
    <n v="412"/>
    <n v="456"/>
    <n v="412"/>
    <n v="868"/>
    <x v="3"/>
    <n v="2469"/>
  </r>
  <r>
    <n v="6117666160"/>
    <d v="2016-05-08T00:00:00"/>
    <s v="Sunday"/>
    <x v="1"/>
    <n v="7328"/>
    <n v="5.5300002099999999"/>
    <n v="5.5300002099999999"/>
    <n v="0"/>
    <n v="0"/>
    <n v="0"/>
    <n v="5.5300002099999999"/>
    <n v="0"/>
    <n v="0"/>
    <n v="0"/>
    <n v="318"/>
    <n v="517"/>
    <n v="318"/>
    <n v="835"/>
    <x v="3"/>
    <n v="2250"/>
  </r>
  <r>
    <n v="6290855005"/>
    <d v="2016-04-01T00:00:00"/>
    <s v="Friday"/>
    <x v="0"/>
    <n v="6633"/>
    <n v="5.0100002290000001"/>
    <n v="5.0100002290000001"/>
    <n v="0"/>
    <n v="0"/>
    <n v="0"/>
    <n v="5.0100002290000001"/>
    <n v="0"/>
    <n v="0"/>
    <n v="0"/>
    <n v="280"/>
    <n v="1160"/>
    <n v="280"/>
    <n v="1440"/>
    <x v="3"/>
    <n v="2778"/>
  </r>
  <r>
    <n v="6290855005"/>
    <d v="2016-04-02T00:00:00"/>
    <s v="Saturday"/>
    <x v="1"/>
    <n v="9548"/>
    <n v="7.2199997900000001"/>
    <n v="7.2199997900000001"/>
    <n v="0"/>
    <n v="2.0199999809999998"/>
    <n v="3.6800000669999999"/>
    <n v="1.519999981"/>
    <n v="0"/>
    <n v="25"/>
    <n v="107"/>
    <n v="113"/>
    <n v="1195"/>
    <n v="245"/>
    <n v="1440"/>
    <x v="1"/>
    <n v="3119"/>
  </r>
  <r>
    <n v="6290855005"/>
    <d v="2016-04-12T00:00:00"/>
    <s v="Tuesday"/>
    <x v="0"/>
    <n v="4562"/>
    <n v="3.4500000480000002"/>
    <n v="3.4500000480000002"/>
    <n v="0"/>
    <n v="0"/>
    <n v="0"/>
    <n v="3.4500000480000002"/>
    <n v="0"/>
    <n v="0"/>
    <n v="0"/>
    <n v="199"/>
    <n v="1241"/>
    <n v="199"/>
    <n v="1440"/>
    <x v="2"/>
    <n v="2560"/>
  </r>
  <r>
    <n v="6290855005"/>
    <d v="2016-04-13T00:00:00"/>
    <s v="Wednesday"/>
    <x v="0"/>
    <n v="7142"/>
    <n v="5.4000000950000002"/>
    <n v="5.4000000950000002"/>
    <n v="0"/>
    <n v="0"/>
    <n v="0"/>
    <n v="5.3899998660000001"/>
    <n v="0.01"/>
    <n v="0"/>
    <n v="0"/>
    <n v="350"/>
    <n v="1090"/>
    <n v="350"/>
    <n v="1440"/>
    <x v="3"/>
    <n v="2905"/>
  </r>
  <r>
    <n v="6290855005"/>
    <d v="2016-04-14T00:00:00"/>
    <s v="Thursday"/>
    <x v="0"/>
    <n v="7671"/>
    <n v="5.8000001909999996"/>
    <n v="5.8000001909999996"/>
    <n v="0"/>
    <n v="0"/>
    <n v="0"/>
    <n v="5.7699999809999998"/>
    <n v="2.9999998999999999E-2"/>
    <n v="0"/>
    <n v="0"/>
    <n v="363"/>
    <n v="1077"/>
    <n v="363"/>
    <n v="1440"/>
    <x v="1"/>
    <n v="2952"/>
  </r>
  <r>
    <n v="6290855005"/>
    <d v="2016-04-15T00:00:00"/>
    <s v="Friday"/>
    <x v="0"/>
    <n v="9501"/>
    <n v="7.1799998279999997"/>
    <n v="7.1799998279999997"/>
    <n v="0"/>
    <n v="0"/>
    <n v="0"/>
    <n v="7.170000076"/>
    <n v="0.01"/>
    <n v="0"/>
    <n v="0"/>
    <n v="328"/>
    <n v="1112"/>
    <n v="328"/>
    <n v="1440"/>
    <x v="1"/>
    <n v="2896"/>
  </r>
  <r>
    <n v="6290855005"/>
    <d v="2016-04-16T00:00:00"/>
    <s v="Saturday"/>
    <x v="1"/>
    <n v="8301"/>
    <n v="6.2800002099999999"/>
    <n v="6.2800002099999999"/>
    <n v="0"/>
    <n v="0"/>
    <n v="0"/>
    <n v="6.2699999809999998"/>
    <n v="0.01"/>
    <n v="0"/>
    <n v="0"/>
    <n v="258"/>
    <n v="1182"/>
    <n v="258"/>
    <n v="1440"/>
    <x v="1"/>
    <n v="2783"/>
  </r>
  <r>
    <n v="6290855005"/>
    <d v="2016-04-17T00:00:00"/>
    <s v="Sunday"/>
    <x v="1"/>
    <n v="7851"/>
    <n v="5.9400000569999998"/>
    <n v="5.9400000569999998"/>
    <n v="0"/>
    <n v="1.1399999860000001"/>
    <n v="0.790000021"/>
    <n v="4"/>
    <n v="0"/>
    <n v="31"/>
    <n v="12"/>
    <n v="225"/>
    <n v="1172"/>
    <n v="268"/>
    <n v="1440"/>
    <x v="1"/>
    <n v="3171"/>
  </r>
  <r>
    <n v="6290855005"/>
    <d v="2016-04-18T00:00:00"/>
    <s v="Monday"/>
    <x v="0"/>
    <n v="6885"/>
    <n v="5.2100000380000004"/>
    <n v="5.2100000380000004"/>
    <n v="0"/>
    <n v="0"/>
    <n v="0"/>
    <n v="5.1900000569999998"/>
    <n v="0.02"/>
    <n v="0"/>
    <n v="0"/>
    <n v="271"/>
    <n v="1169"/>
    <n v="271"/>
    <n v="1440"/>
    <x v="3"/>
    <n v="2766"/>
  </r>
  <r>
    <n v="6290855005"/>
    <d v="2016-04-19T00:00:00"/>
    <s v="Tuesday"/>
    <x v="0"/>
    <n v="7142"/>
    <n v="5.4000000950000002"/>
    <n v="5.4000000950000002"/>
    <n v="0"/>
    <n v="0"/>
    <n v="0"/>
    <n v="5.3899998660000001"/>
    <n v="0.01"/>
    <n v="0"/>
    <n v="0"/>
    <n v="321"/>
    <n v="1119"/>
    <n v="321"/>
    <n v="1440"/>
    <x v="3"/>
    <n v="2839"/>
  </r>
  <r>
    <n v="6290855005"/>
    <d v="2016-04-20T00:00:00"/>
    <s v="Wednesday"/>
    <x v="0"/>
    <n v="6361"/>
    <n v="4.8099999430000002"/>
    <n v="4.8099999430000002"/>
    <n v="0"/>
    <n v="0"/>
    <n v="0"/>
    <n v="4.8000001909999996"/>
    <n v="0.01"/>
    <n v="0"/>
    <n v="0"/>
    <n v="258"/>
    <n v="1182"/>
    <n v="258"/>
    <n v="1440"/>
    <x v="3"/>
    <n v="2701"/>
  </r>
  <r>
    <n v="6290855005"/>
    <d v="2016-04-22T00:00:00"/>
    <s v="Friday"/>
    <x v="0"/>
    <n v="6238"/>
    <n v="4.7199997900000001"/>
    <n v="4.7199997900000001"/>
    <n v="0"/>
    <n v="0"/>
    <n v="0"/>
    <n v="4.7199997900000001"/>
    <n v="0"/>
    <n v="0"/>
    <n v="0"/>
    <n v="302"/>
    <n v="1138"/>
    <n v="302"/>
    <n v="1440"/>
    <x v="3"/>
    <n v="2796"/>
  </r>
  <r>
    <n v="6290855005"/>
    <d v="2016-04-24T00:00:00"/>
    <s v="Sunday"/>
    <x v="1"/>
    <n v="5896"/>
    <n v="4.4600000380000004"/>
    <n v="4.4600000380000004"/>
    <n v="0"/>
    <n v="0"/>
    <n v="0"/>
    <n v="4.4600000380000004"/>
    <n v="0"/>
    <n v="0"/>
    <n v="0"/>
    <n v="258"/>
    <n v="1182"/>
    <n v="258"/>
    <n v="1440"/>
    <x v="3"/>
    <n v="2703"/>
  </r>
  <r>
    <n v="6290855005"/>
    <d v="2016-04-25T00:00:00"/>
    <s v="Monday"/>
    <x v="0"/>
    <n v="7802"/>
    <n v="5.9000000950000002"/>
    <n v="5.9000000950000002"/>
    <n v="0"/>
    <n v="0.68000000699999996"/>
    <n v="0.18000000699999999"/>
    <n v="5.0300002099999999"/>
    <n v="0.01"/>
    <n v="8"/>
    <n v="3"/>
    <n v="249"/>
    <n v="1180"/>
    <n v="260"/>
    <n v="1440"/>
    <x v="1"/>
    <n v="2771"/>
  </r>
  <r>
    <n v="6290855005"/>
    <d v="2016-04-27T00:00:00"/>
    <s v="Wednesday"/>
    <x v="0"/>
    <n v="5565"/>
    <n v="4.2100000380000004"/>
    <n v="4.2100000380000004"/>
    <n v="0"/>
    <n v="0"/>
    <n v="0"/>
    <n v="4.1799998279999997"/>
    <n v="2.9999998999999999E-2"/>
    <n v="0"/>
    <n v="0"/>
    <n v="287"/>
    <n v="1153"/>
    <n v="287"/>
    <n v="1440"/>
    <x v="3"/>
    <n v="2743"/>
  </r>
  <r>
    <n v="6290855005"/>
    <d v="2016-04-28T00:00:00"/>
    <s v="Thursday"/>
    <x v="0"/>
    <n v="5731"/>
    <n v="4.329999924"/>
    <n v="4.329999924"/>
    <n v="0"/>
    <n v="0"/>
    <n v="0"/>
    <n v="4.329999924"/>
    <n v="0"/>
    <n v="0"/>
    <n v="0"/>
    <n v="255"/>
    <n v="1185"/>
    <n v="255"/>
    <n v="1440"/>
    <x v="3"/>
    <n v="2687"/>
  </r>
  <r>
    <n v="6290855005"/>
    <d v="2016-04-30T00:00:00"/>
    <s v="Saturday"/>
    <x v="1"/>
    <n v="6744"/>
    <n v="5.0999999049999998"/>
    <n v="5.0999999049999998"/>
    <n v="0"/>
    <n v="0"/>
    <n v="0"/>
    <n v="5.0900001530000001"/>
    <n v="0.01"/>
    <n v="0"/>
    <n v="0"/>
    <n v="324"/>
    <n v="1116"/>
    <n v="324"/>
    <n v="1440"/>
    <x v="3"/>
    <n v="2843"/>
  </r>
  <r>
    <n v="6290855005"/>
    <d v="2016-05-01T00:00:00"/>
    <s v="Sunday"/>
    <x v="1"/>
    <n v="9837"/>
    <n v="7.4400000569999998"/>
    <n v="7.4400000569999998"/>
    <n v="0"/>
    <n v="0.66000002599999996"/>
    <n v="2.75"/>
    <n v="4"/>
    <n v="0.02"/>
    <n v="8"/>
    <n v="95"/>
    <n v="282"/>
    <n v="1055"/>
    <n v="385"/>
    <n v="1440"/>
    <x v="1"/>
    <n v="3327"/>
  </r>
  <r>
    <n v="6290855005"/>
    <d v="2016-05-02T00:00:00"/>
    <s v="Monday"/>
    <x v="0"/>
    <n v="6781"/>
    <n v="5.1300001139999996"/>
    <n v="5.1300001139999996"/>
    <n v="0"/>
    <n v="0"/>
    <n v="0"/>
    <n v="5.1100001339999999"/>
    <n v="0.02"/>
    <n v="0"/>
    <n v="0"/>
    <n v="268"/>
    <n v="1172"/>
    <n v="268"/>
    <n v="1440"/>
    <x v="3"/>
    <n v="2725"/>
  </r>
  <r>
    <n v="6290855005"/>
    <d v="2016-05-03T00:00:00"/>
    <s v="Tuesday"/>
    <x v="0"/>
    <n v="6047"/>
    <n v="4.5700001720000003"/>
    <n v="4.5700001720000003"/>
    <n v="0"/>
    <n v="0"/>
    <n v="0"/>
    <n v="4.5700001720000003"/>
    <n v="0"/>
    <n v="0"/>
    <n v="0"/>
    <n v="240"/>
    <n v="1200"/>
    <n v="240"/>
    <n v="1440"/>
    <x v="3"/>
    <n v="2671"/>
  </r>
  <r>
    <n v="6290855005"/>
    <d v="2016-05-04T00:00:00"/>
    <s v="Wednesday"/>
    <x v="0"/>
    <n v="5832"/>
    <n v="4.4099998469999999"/>
    <n v="4.4099998469999999"/>
    <n v="0"/>
    <n v="0"/>
    <n v="0"/>
    <n v="4.4000000950000002"/>
    <n v="0.01"/>
    <n v="0"/>
    <n v="0"/>
    <n v="272"/>
    <n v="1168"/>
    <n v="272"/>
    <n v="1440"/>
    <x v="3"/>
    <n v="2718"/>
  </r>
  <r>
    <n v="6290855005"/>
    <d v="2016-05-05T00:00:00"/>
    <s v="Thursday"/>
    <x v="0"/>
    <n v="6339"/>
    <n v="4.7899999619999996"/>
    <n v="4.7899999619999996"/>
    <n v="0"/>
    <n v="0"/>
    <n v="0"/>
    <n v="4.7899999619999996"/>
    <n v="0"/>
    <n v="0"/>
    <n v="0"/>
    <n v="239"/>
    <n v="1201"/>
    <n v="239"/>
    <n v="1440"/>
    <x v="3"/>
    <n v="2682"/>
  </r>
  <r>
    <n v="6290855005"/>
    <d v="2016-05-06T00:00:00"/>
    <s v="Friday"/>
    <x v="0"/>
    <n v="6116"/>
    <n v="4.6199998860000004"/>
    <n v="4.6199998860000004"/>
    <n v="0"/>
    <n v="0"/>
    <n v="0"/>
    <n v="4.5900001530000001"/>
    <n v="2.9999998999999999E-2"/>
    <n v="0"/>
    <n v="0"/>
    <n v="305"/>
    <n v="1135"/>
    <n v="305"/>
    <n v="1440"/>
    <x v="3"/>
    <n v="2806"/>
  </r>
  <r>
    <n v="6290855005"/>
    <d v="2016-05-07T00:00:00"/>
    <s v="Saturday"/>
    <x v="1"/>
    <n v="5510"/>
    <n v="4.170000076"/>
    <n v="4.170000076"/>
    <n v="0"/>
    <n v="0"/>
    <n v="0"/>
    <n v="4.1599998469999999"/>
    <n v="0"/>
    <n v="0"/>
    <n v="0"/>
    <n v="227"/>
    <n v="1213"/>
    <n v="227"/>
    <n v="1440"/>
    <x v="3"/>
    <n v="2613"/>
  </r>
  <r>
    <n v="6290855005"/>
    <d v="2016-05-08T00:00:00"/>
    <s v="Sunday"/>
    <x v="1"/>
    <n v="7706"/>
    <n v="5.829999924"/>
    <n v="5.829999924"/>
    <n v="0"/>
    <n v="0"/>
    <n v="0"/>
    <n v="5.8200001720000003"/>
    <n v="0"/>
    <n v="0"/>
    <n v="0"/>
    <n v="251"/>
    <n v="1189"/>
    <n v="251"/>
    <n v="1440"/>
    <x v="1"/>
    <n v="2712"/>
  </r>
  <r>
    <n v="6290855005"/>
    <d v="2016-05-09T00:00:00"/>
    <s v="Monday"/>
    <x v="0"/>
    <n v="6277"/>
    <n v="4.75"/>
    <n v="4.75"/>
    <n v="0"/>
    <n v="0"/>
    <n v="0"/>
    <n v="4.7300000190000002"/>
    <n v="0.02"/>
    <n v="0"/>
    <n v="0"/>
    <n v="264"/>
    <n v="800"/>
    <n v="264"/>
    <n v="1064"/>
    <x v="3"/>
    <n v="2175"/>
  </r>
  <r>
    <n v="6391747486"/>
    <d v="2016-04-02T00:00:00"/>
    <s v="Saturday"/>
    <x v="1"/>
    <n v="2101"/>
    <n v="2.0299999710000001"/>
    <n v="0"/>
    <n v="2.0277729029999998"/>
    <n v="2.0299999710000001"/>
    <n v="0"/>
    <n v="0"/>
    <n v="0"/>
    <n v="46"/>
    <n v="0"/>
    <n v="0"/>
    <n v="1394"/>
    <n v="46"/>
    <n v="1440"/>
    <x v="2"/>
    <n v="2224"/>
  </r>
  <r>
    <n v="6391747486"/>
    <d v="2016-04-05T00:00:00"/>
    <s v="Tuesday"/>
    <x v="0"/>
    <n v="9766"/>
    <n v="7.5100002290000001"/>
    <n v="0.77999997099999996"/>
    <n v="6.7270569800000004"/>
    <n v="0"/>
    <n v="5.0000001000000002E-2"/>
    <n v="7.4600000380000004"/>
    <n v="0"/>
    <n v="0"/>
    <n v="6"/>
    <n v="301"/>
    <n v="1133"/>
    <n v="307"/>
    <n v="1440"/>
    <x v="1"/>
    <n v="2442"/>
  </r>
  <r>
    <n v="6775888955"/>
    <d v="2016-04-01T00:00:00"/>
    <s v="Friday"/>
    <x v="0"/>
    <n v="7225"/>
    <n v="5.1799998279999997"/>
    <n v="5.1799998279999997"/>
    <n v="0"/>
    <n v="1.730000019"/>
    <n v="1.269999981"/>
    <n v="2.1800000669999999"/>
    <n v="0"/>
    <n v="25"/>
    <n v="50"/>
    <n v="163"/>
    <n v="1189"/>
    <n v="238"/>
    <n v="1427"/>
    <x v="3"/>
    <n v="3065"/>
  </r>
  <r>
    <n v="6775888955"/>
    <d v="2016-04-02T00:00:00"/>
    <s v="Saturday"/>
    <x v="1"/>
    <n v="1988"/>
    <n v="1.4299999480000001"/>
    <n v="1.4299999480000001"/>
    <n v="0"/>
    <n v="0"/>
    <n v="0"/>
    <n v="1.4299999480000001"/>
    <n v="0"/>
    <n v="0"/>
    <n v="0"/>
    <n v="79"/>
    <n v="909"/>
    <n v="79"/>
    <n v="988"/>
    <x v="2"/>
    <n v="2207"/>
  </r>
  <r>
    <n v="6775888955"/>
    <d v="2016-04-03T00:00:00"/>
    <s v="Sunday"/>
    <x v="1"/>
    <n v="1577"/>
    <n v="1.1299999949999999"/>
    <n v="1.1299999949999999"/>
    <n v="0"/>
    <n v="7.0000000000000007E-2"/>
    <n v="0.88999998599999997"/>
    <n v="0.17000000200000001"/>
    <n v="0"/>
    <n v="1"/>
    <n v="17"/>
    <n v="8"/>
    <n v="1414"/>
    <n v="26"/>
    <n v="1440"/>
    <x v="2"/>
    <n v="1977"/>
  </r>
  <r>
    <n v="6775888955"/>
    <d v="2016-04-05T00:00:00"/>
    <s v="Tuesday"/>
    <x v="0"/>
    <n v="9348"/>
    <n v="6.6999998090000004"/>
    <n v="6.6999998090000004"/>
    <n v="0"/>
    <n v="1.1299999949999999"/>
    <n v="2.039999962"/>
    <n v="3.1400001049999999"/>
    <n v="0"/>
    <n v="56"/>
    <n v="133"/>
    <n v="240"/>
    <n v="1011"/>
    <n v="429"/>
    <n v="1440"/>
    <x v="1"/>
    <n v="4286"/>
  </r>
  <r>
    <n v="6775888955"/>
    <d v="2016-04-06T00:00:00"/>
    <s v="Wednesday"/>
    <x v="0"/>
    <n v="11761"/>
    <n v="8.4300003050000001"/>
    <n v="8.4300003050000001"/>
    <n v="0"/>
    <n v="1.309999943"/>
    <n v="2.4400000569999998"/>
    <n v="4.6799998279999997"/>
    <n v="0"/>
    <n v="24"/>
    <n v="99"/>
    <n v="300"/>
    <n v="550"/>
    <n v="423"/>
    <n v="973"/>
    <x v="0"/>
    <n v="3920"/>
  </r>
  <r>
    <n v="6775888955"/>
    <d v="2016-04-07T00:00:00"/>
    <s v="Thursday"/>
    <x v="0"/>
    <n v="13987"/>
    <n v="10.02999973"/>
    <n v="10.02999973"/>
    <n v="0"/>
    <n v="2.869999886"/>
    <n v="3.3399999139999998"/>
    <n v="3.8199999330000001"/>
    <n v="0"/>
    <n v="46"/>
    <n v="114"/>
    <n v="250"/>
    <n v="739"/>
    <n v="410"/>
    <n v="1149"/>
    <x v="0"/>
    <n v="3856"/>
  </r>
  <r>
    <n v="6775888955"/>
    <d v="2016-04-08T00:00:00"/>
    <s v="Friday"/>
    <x v="0"/>
    <n v="4131"/>
    <n v="2.960000038"/>
    <n v="2.960000038"/>
    <n v="0"/>
    <n v="1.3700000050000001"/>
    <n v="0.61000001400000003"/>
    <n v="0.980000019"/>
    <n v="0"/>
    <n v="27"/>
    <n v="30"/>
    <n v="75"/>
    <n v="1308"/>
    <n v="132"/>
    <n v="1440"/>
    <x v="2"/>
    <n v="2584"/>
  </r>
  <r>
    <n v="6775888955"/>
    <d v="2016-04-13T00:00:00"/>
    <s v="Wednesday"/>
    <x v="0"/>
    <n v="4053"/>
    <n v="2.9100000860000002"/>
    <n v="2.9100000860000002"/>
    <n v="0"/>
    <n v="1.1100000139999999"/>
    <n v="0.579999983"/>
    <n v="1.2200000289999999"/>
    <n v="0"/>
    <n v="17"/>
    <n v="18"/>
    <n v="85"/>
    <n v="1053"/>
    <n v="120"/>
    <n v="1173"/>
    <x v="2"/>
    <n v="2400"/>
  </r>
  <r>
    <n v="6775888955"/>
    <d v="2016-04-14T00:00:00"/>
    <s v="Thursday"/>
    <x v="0"/>
    <n v="5162"/>
    <n v="3.7000000480000002"/>
    <n v="3.7000000480000002"/>
    <n v="0"/>
    <n v="0.87000000499999997"/>
    <n v="0.86000001400000003"/>
    <n v="1.9700000289999999"/>
    <n v="0"/>
    <n v="14"/>
    <n v="24"/>
    <n v="105"/>
    <n v="863"/>
    <n v="143"/>
    <n v="1006"/>
    <x v="3"/>
    <n v="2507"/>
  </r>
  <r>
    <n v="6775888955"/>
    <d v="2016-04-15T00:00:00"/>
    <s v="Friday"/>
    <x v="0"/>
    <n v="1282"/>
    <n v="0.920000017"/>
    <n v="0.920000017"/>
    <n v="0"/>
    <n v="0"/>
    <n v="0"/>
    <n v="0.920000017"/>
    <n v="0"/>
    <n v="0"/>
    <n v="0"/>
    <n v="58"/>
    <n v="976"/>
    <n v="58"/>
    <n v="1034"/>
    <x v="2"/>
    <n v="2127"/>
  </r>
  <r>
    <n v="6775888955"/>
    <d v="2016-04-16T00:00:00"/>
    <s v="Saturday"/>
    <x v="1"/>
    <n v="4732"/>
    <n v="3.3900001049999999"/>
    <n v="3.3900001049999999"/>
    <n v="0"/>
    <n v="2.5199999809999998"/>
    <n v="0.810000002"/>
    <n v="5.9999998999999998E-2"/>
    <n v="0"/>
    <n v="36"/>
    <n v="18"/>
    <n v="9"/>
    <n v="1377"/>
    <n v="63"/>
    <n v="1440"/>
    <x v="2"/>
    <n v="2225"/>
  </r>
  <r>
    <n v="6775888955"/>
    <d v="2016-04-17T00:00:00"/>
    <s v="Sunday"/>
    <x v="1"/>
    <n v="2497"/>
    <n v="1.789999962"/>
    <n v="1.789999962"/>
    <n v="0"/>
    <n v="0.34999999399999998"/>
    <n v="1.1299999949999999"/>
    <n v="0.310000002"/>
    <n v="0"/>
    <n v="5"/>
    <n v="24"/>
    <n v="19"/>
    <n v="1392"/>
    <n v="48"/>
    <n v="1440"/>
    <x v="2"/>
    <n v="2067"/>
  </r>
  <r>
    <n v="6775888955"/>
    <d v="2016-04-18T00:00:00"/>
    <s v="Monday"/>
    <x v="0"/>
    <n v="8294"/>
    <n v="5.9499998090000004"/>
    <n v="5.9499998090000004"/>
    <n v="0"/>
    <n v="2"/>
    <n v="0.769999981"/>
    <n v="3.170000076"/>
    <n v="0"/>
    <n v="30"/>
    <n v="31"/>
    <n v="146"/>
    <n v="1233"/>
    <n v="207"/>
    <n v="1440"/>
    <x v="1"/>
    <n v="2798"/>
  </r>
  <r>
    <n v="6775888955"/>
    <d v="2016-04-20T00:00:00"/>
    <s v="Wednesday"/>
    <x v="0"/>
    <n v="10771"/>
    <n v="7.7199997900000001"/>
    <n v="7.7199997900000001"/>
    <n v="0"/>
    <n v="3.7699999809999998"/>
    <n v="1.7400000099999999"/>
    <n v="2.2200000289999999"/>
    <n v="0"/>
    <n v="70"/>
    <n v="113"/>
    <n v="178"/>
    <n v="1079"/>
    <n v="361"/>
    <n v="1440"/>
    <x v="0"/>
    <n v="3727"/>
  </r>
  <r>
    <n v="6775888955"/>
    <d v="2016-04-22T00:00:00"/>
    <s v="Friday"/>
    <x v="0"/>
    <n v="637"/>
    <n v="0.46000000800000002"/>
    <n v="0.46000000800000002"/>
    <n v="0"/>
    <n v="0"/>
    <n v="0"/>
    <n v="0.46000000800000002"/>
    <n v="0"/>
    <n v="0"/>
    <n v="0"/>
    <n v="20"/>
    <n v="1420"/>
    <n v="20"/>
    <n v="1440"/>
    <x v="2"/>
    <n v="1922"/>
  </r>
  <r>
    <n v="6775888955"/>
    <d v="2016-04-24T00:00:00"/>
    <s v="Sunday"/>
    <x v="1"/>
    <n v="2153"/>
    <n v="1.539999962"/>
    <n v="1.539999962"/>
    <n v="0"/>
    <n v="0.769999981"/>
    <n v="0.62000000499999997"/>
    <n v="0.15000000599999999"/>
    <n v="0"/>
    <n v="11"/>
    <n v="18"/>
    <n v="11"/>
    <n v="1400"/>
    <n v="40"/>
    <n v="1440"/>
    <x v="2"/>
    <n v="2053"/>
  </r>
  <r>
    <n v="6775888955"/>
    <d v="2016-04-25T00:00:00"/>
    <s v="Monday"/>
    <x v="0"/>
    <n v="6474"/>
    <n v="4.6399998660000001"/>
    <n v="4.6399998660000001"/>
    <n v="0"/>
    <n v="2.2699999809999998"/>
    <n v="0.46000000800000002"/>
    <n v="1.8999999759999999"/>
    <n v="0"/>
    <n v="33"/>
    <n v="13"/>
    <n v="92"/>
    <n v="1302"/>
    <n v="138"/>
    <n v="1440"/>
    <x v="3"/>
    <n v="2484"/>
  </r>
  <r>
    <n v="6775888955"/>
    <d v="2016-04-26T00:00:00"/>
    <s v="Tuesday"/>
    <x v="0"/>
    <n v="7091"/>
    <n v="5.2699999809999998"/>
    <n v="5.2699999809999998"/>
    <n v="1.9595960379999999"/>
    <n v="3.4800000190000002"/>
    <n v="0.87000000499999997"/>
    <n v="0.730000019"/>
    <n v="0"/>
    <n v="42"/>
    <n v="30"/>
    <n v="47"/>
    <n v="1321"/>
    <n v="119"/>
    <n v="1440"/>
    <x v="3"/>
    <n v="2584"/>
  </r>
  <r>
    <n v="6775888955"/>
    <d v="2016-04-28T00:00:00"/>
    <s v="Thursday"/>
    <x v="0"/>
    <n v="703"/>
    <n v="0.5"/>
    <n v="0.5"/>
    <n v="0"/>
    <n v="5.9999998999999998E-2"/>
    <n v="0.20000000300000001"/>
    <n v="0.23999999499999999"/>
    <n v="0"/>
    <n v="2"/>
    <n v="13"/>
    <n v="15"/>
    <n v="1410"/>
    <n v="30"/>
    <n v="1440"/>
    <x v="2"/>
    <n v="1993"/>
  </r>
  <r>
    <n v="6775888955"/>
    <d v="2016-04-30T00:00:00"/>
    <s v="Saturday"/>
    <x v="1"/>
    <n v="2503"/>
    <n v="1.789999962"/>
    <n v="1.789999962"/>
    <n v="0"/>
    <n v="0.15999999600000001"/>
    <n v="0.15999999600000001"/>
    <n v="1.480000019"/>
    <n v="0"/>
    <n v="3"/>
    <n v="9"/>
    <n v="84"/>
    <n v="1344"/>
    <n v="96"/>
    <n v="1440"/>
    <x v="2"/>
    <n v="2280"/>
  </r>
  <r>
    <n v="6775888955"/>
    <d v="2016-05-01T00:00:00"/>
    <s v="Sunday"/>
    <x v="1"/>
    <n v="2487"/>
    <n v="1.7799999710000001"/>
    <n v="1.7799999710000001"/>
    <n v="0"/>
    <n v="0.47999998900000002"/>
    <n v="0.62000000499999997"/>
    <n v="0.68000000699999996"/>
    <n v="0"/>
    <n v="9"/>
    <n v="34"/>
    <n v="50"/>
    <n v="1347"/>
    <n v="93"/>
    <n v="1440"/>
    <x v="2"/>
    <n v="2319"/>
  </r>
  <r>
    <n v="6775888955"/>
    <d v="2016-05-06T00:00:00"/>
    <s v="Friday"/>
    <x v="0"/>
    <n v="4697"/>
    <n v="3.369999886"/>
    <n v="3.369999886"/>
    <n v="0"/>
    <n v="0.469999999"/>
    <n v="0.93000000699999996"/>
    <n v="1.9299999480000001"/>
    <n v="0"/>
    <n v="12"/>
    <n v="35"/>
    <n v="75"/>
    <n v="1318"/>
    <n v="122"/>
    <n v="1440"/>
    <x v="2"/>
    <n v="2496"/>
  </r>
  <r>
    <n v="6775888955"/>
    <d v="2016-05-07T00:00:00"/>
    <s v="Saturday"/>
    <x v="1"/>
    <n v="1967"/>
    <n v="1.4099999670000001"/>
    <n v="1.4099999670000001"/>
    <n v="0"/>
    <n v="0.12999999500000001"/>
    <n v="0.23999999499999999"/>
    <n v="1.0499999520000001"/>
    <n v="0"/>
    <n v="2"/>
    <n v="5"/>
    <n v="49"/>
    <n v="551"/>
    <n v="56"/>
    <n v="607"/>
    <x v="2"/>
    <n v="1032"/>
  </r>
  <r>
    <n v="6962181067"/>
    <d v="2016-03-30T00:00:00"/>
    <s v="Wednesday"/>
    <x v="0"/>
    <n v="15491"/>
    <n v="10.239999770000001"/>
    <n v="10.239999770000001"/>
    <n v="0"/>
    <n v="1.289999962"/>
    <n v="4.4899997709999999"/>
    <n v="4.4600000380000004"/>
    <n v="0"/>
    <n v="18"/>
    <n v="77"/>
    <n v="272"/>
    <n v="641"/>
    <n v="367"/>
    <n v="1008"/>
    <x v="0"/>
    <n v="2244"/>
  </r>
  <r>
    <n v="6962181067"/>
    <d v="2016-03-31T00:00:00"/>
    <s v="Thursday"/>
    <x v="0"/>
    <n v="14097"/>
    <n v="9.3199996949999999"/>
    <n v="9.3199996949999999"/>
    <n v="0"/>
    <n v="3.5"/>
    <n v="1.9199999569999999"/>
    <n v="3.9000000950000002"/>
    <n v="0"/>
    <n v="50"/>
    <n v="32"/>
    <n v="234"/>
    <n v="595"/>
    <n v="316"/>
    <n v="911"/>
    <x v="0"/>
    <n v="2188"/>
  </r>
  <r>
    <n v="6962181067"/>
    <d v="2016-04-01T00:00:00"/>
    <s v="Friday"/>
    <x v="0"/>
    <n v="10467"/>
    <n v="6.9800000190000002"/>
    <n v="6.9800000190000002"/>
    <n v="0"/>
    <n v="0.69999998799999996"/>
    <n v="2.4300000669999999"/>
    <n v="3.8499999049999998"/>
    <n v="0"/>
    <n v="9"/>
    <n v="45"/>
    <n v="252"/>
    <n v="602"/>
    <n v="306"/>
    <n v="908"/>
    <x v="0"/>
    <n v="2014"/>
  </r>
  <r>
    <n v="6962181067"/>
    <d v="2016-04-02T00:00:00"/>
    <s v="Saturday"/>
    <x v="1"/>
    <n v="12437"/>
    <n v="8.3000001910000005"/>
    <n v="8.3000001910000005"/>
    <n v="0"/>
    <n v="3.7599999899999998"/>
    <n v="1.289999962"/>
    <n v="3.2400000100000002"/>
    <n v="0"/>
    <n v="50"/>
    <n v="24"/>
    <n v="219"/>
    <n v="732"/>
    <n v="293"/>
    <n v="1025"/>
    <x v="0"/>
    <n v="2115"/>
  </r>
  <r>
    <n v="6962181067"/>
    <d v="2016-04-03T00:00:00"/>
    <s v="Sunday"/>
    <x v="1"/>
    <n v="12307"/>
    <n v="8.1400003430000005"/>
    <n v="8.1400003430000005"/>
    <n v="0"/>
    <n v="1.0099999900000001"/>
    <n v="3.2599999899999998"/>
    <n v="3.869999886"/>
    <n v="0"/>
    <n v="14"/>
    <n v="51"/>
    <n v="218"/>
    <n v="589"/>
    <n v="283"/>
    <n v="872"/>
    <x v="0"/>
    <n v="2055"/>
  </r>
  <r>
    <n v="6962181067"/>
    <d v="2016-04-04T00:00:00"/>
    <s v="Monday"/>
    <x v="0"/>
    <n v="18952"/>
    <n v="12.80000019"/>
    <n v="12.80000019"/>
    <n v="0"/>
    <n v="5.9099998469999999"/>
    <n v="1.230000019"/>
    <n v="5.6599998469999999"/>
    <n v="0"/>
    <n v="73"/>
    <n v="20"/>
    <n v="327"/>
    <n v="570"/>
    <n v="420"/>
    <n v="990"/>
    <x v="0"/>
    <n v="2437"/>
  </r>
  <r>
    <n v="6962181067"/>
    <d v="2016-04-05T00:00:00"/>
    <s v="Tuesday"/>
    <x v="0"/>
    <n v="12010"/>
    <n v="7.9400000569999998"/>
    <n v="7.9400000569999998"/>
    <n v="0"/>
    <n v="2.380000114"/>
    <n v="0.94999998799999996"/>
    <n v="4.6100001339999999"/>
    <n v="0"/>
    <n v="38"/>
    <n v="17"/>
    <n v="287"/>
    <n v="692"/>
    <n v="342"/>
    <n v="1034"/>
    <x v="0"/>
    <n v="2158"/>
  </r>
  <r>
    <n v="6962181067"/>
    <d v="2016-04-06T00:00:00"/>
    <s v="Wednesday"/>
    <x v="0"/>
    <n v="12480"/>
    <n v="8.8599996569999995"/>
    <n v="8.25"/>
    <n v="3.97279501"/>
    <n v="4.1799998279999997"/>
    <n v="0.689999998"/>
    <n v="4"/>
    <n v="0"/>
    <n v="55"/>
    <n v="14"/>
    <n v="276"/>
    <n v="593"/>
    <n v="345"/>
    <n v="938"/>
    <x v="0"/>
    <n v="2170"/>
  </r>
  <r>
    <n v="6962181067"/>
    <d v="2016-04-07T00:00:00"/>
    <s v="Thursday"/>
    <x v="0"/>
    <n v="13417"/>
    <n v="9.6499996190000008"/>
    <n v="8.8699998860000004"/>
    <n v="1.9263019560000001"/>
    <n v="3.3900001049999999"/>
    <n v="1.25"/>
    <n v="4.9099998469999999"/>
    <n v="0.10000000100000001"/>
    <n v="45"/>
    <n v="16"/>
    <n v="284"/>
    <n v="665"/>
    <n v="345"/>
    <n v="1010"/>
    <x v="0"/>
    <n v="2244"/>
  </r>
  <r>
    <n v="6962181067"/>
    <d v="2016-04-08T00:00:00"/>
    <s v="Friday"/>
    <x v="0"/>
    <n v="14400"/>
    <n v="10.880000109999999"/>
    <n v="9.5200004580000002"/>
    <n v="5.4568638800000002"/>
    <n v="2.4700000289999999"/>
    <n v="2.880000114"/>
    <n v="5.5300002099999999"/>
    <n v="0"/>
    <n v="27"/>
    <n v="37"/>
    <n v="276"/>
    <n v="697"/>
    <n v="340"/>
    <n v="1037"/>
    <x v="0"/>
    <n v="2188"/>
  </r>
  <r>
    <n v="6962181067"/>
    <d v="2016-04-09T00:00:00"/>
    <s v="Saturday"/>
    <x v="1"/>
    <n v="12495"/>
    <n v="8.2600002289999992"/>
    <n v="8.2600002289999992"/>
    <n v="0"/>
    <n v="2.210000038"/>
    <n v="1.0900000329999999"/>
    <n v="4.9600000380000004"/>
    <n v="0"/>
    <n v="33"/>
    <n v="19"/>
    <n v="324"/>
    <n v="609"/>
    <n v="376"/>
    <n v="985"/>
    <x v="0"/>
    <n v="2231"/>
  </r>
  <r>
    <n v="6962181067"/>
    <d v="2016-04-10T00:00:00"/>
    <s v="Sunday"/>
    <x v="1"/>
    <n v="10148"/>
    <n v="6.7100000380000004"/>
    <n v="6.7100000380000004"/>
    <n v="0"/>
    <n v="1.3600000139999999"/>
    <n v="0.219999999"/>
    <n v="5.1300001139999996"/>
    <n v="0"/>
    <n v="19"/>
    <n v="7"/>
    <n v="306"/>
    <n v="679"/>
    <n v="332"/>
    <n v="1011"/>
    <x v="0"/>
    <n v="2100"/>
  </r>
  <r>
    <n v="6962181067"/>
    <d v="2016-04-11T00:00:00"/>
    <s v="Monday"/>
    <x v="0"/>
    <n v="12362"/>
    <n v="9.0900001530000001"/>
    <n v="8.1700000760000009"/>
    <n v="2.696455002"/>
    <n v="1.0900000329999999"/>
    <n v="2.7300000190000002"/>
    <n v="5.2699999809999998"/>
    <n v="0"/>
    <n v="21"/>
    <n v="38"/>
    <n v="297"/>
    <n v="678"/>
    <n v="356"/>
    <n v="1034"/>
    <x v="0"/>
    <n v="2188"/>
  </r>
  <r>
    <n v="6962181067"/>
    <d v="2016-04-13T00:00:00"/>
    <s v="Wednesday"/>
    <x v="0"/>
    <n v="5652"/>
    <n v="3.7400000100000002"/>
    <n v="3.7400000100000002"/>
    <n v="0"/>
    <n v="0.56999999300000004"/>
    <n v="1.210000038"/>
    <n v="1.960000038"/>
    <n v="0"/>
    <n v="8"/>
    <n v="24"/>
    <n v="142"/>
    <n v="548"/>
    <n v="174"/>
    <n v="722"/>
    <x v="3"/>
    <n v="1718"/>
  </r>
  <r>
    <n v="6962181067"/>
    <d v="2016-04-14T00:00:00"/>
    <s v="Thursday"/>
    <x v="0"/>
    <n v="1551"/>
    <n v="1.0299999710000001"/>
    <n v="1.0299999710000001"/>
    <n v="0"/>
    <n v="0"/>
    <n v="0"/>
    <n v="1.0299999710000001"/>
    <n v="0"/>
    <n v="0"/>
    <n v="0"/>
    <n v="86"/>
    <n v="862"/>
    <n v="86"/>
    <n v="948"/>
    <x v="2"/>
    <n v="1466"/>
  </r>
  <r>
    <n v="6962181067"/>
    <d v="2016-04-15T00:00:00"/>
    <s v="Friday"/>
    <x v="0"/>
    <n v="5563"/>
    <n v="3.6800000669999999"/>
    <n v="3.6800000669999999"/>
    <n v="0"/>
    <n v="0"/>
    <n v="0"/>
    <n v="3.6800000669999999"/>
    <n v="0"/>
    <n v="0"/>
    <n v="0"/>
    <n v="217"/>
    <n v="837"/>
    <n v="217"/>
    <n v="1054"/>
    <x v="3"/>
    <n v="1756"/>
  </r>
  <r>
    <n v="6962181067"/>
    <d v="2016-04-16T00:00:00"/>
    <s v="Saturday"/>
    <x v="1"/>
    <n v="13217"/>
    <n v="8.7399997710000008"/>
    <n v="8.7399997710000008"/>
    <n v="0"/>
    <n v="3.6600000860000002"/>
    <n v="0.189999998"/>
    <n v="4.8800001139999996"/>
    <n v="0"/>
    <n v="50"/>
    <n v="3"/>
    <n v="280"/>
    <n v="741"/>
    <n v="333"/>
    <n v="1074"/>
    <x v="0"/>
    <n v="2173"/>
  </r>
  <r>
    <n v="6962181067"/>
    <d v="2016-04-17T00:00:00"/>
    <s v="Sunday"/>
    <x v="1"/>
    <n v="10145"/>
    <n v="6.7100000380000004"/>
    <n v="6.7100000380000004"/>
    <n v="0"/>
    <n v="0.33000001299999998"/>
    <n v="0.68000000699999996"/>
    <n v="5.6900000569999998"/>
    <n v="0"/>
    <n v="5"/>
    <n v="13"/>
    <n v="295"/>
    <n v="634"/>
    <n v="313"/>
    <n v="947"/>
    <x v="0"/>
    <n v="2027"/>
  </r>
  <r>
    <n v="6962181067"/>
    <d v="2016-04-18T00:00:00"/>
    <s v="Monday"/>
    <x v="0"/>
    <n v="11404"/>
    <n v="7.5399999619999996"/>
    <n v="7.5399999619999996"/>
    <n v="0"/>
    <n v="0.829999983"/>
    <n v="2.3900001049999999"/>
    <n v="4.3200001720000003"/>
    <n v="0"/>
    <n v="13"/>
    <n v="42"/>
    <n v="238"/>
    <n v="689"/>
    <n v="293"/>
    <n v="982"/>
    <x v="0"/>
    <n v="2039"/>
  </r>
  <r>
    <n v="6962181067"/>
    <d v="2016-04-19T00:00:00"/>
    <s v="Tuesday"/>
    <x v="0"/>
    <n v="10742"/>
    <n v="7.0999999049999998"/>
    <n v="7.0999999049999998"/>
    <n v="0"/>
    <n v="2.0999999049999998"/>
    <n v="2.130000114"/>
    <n v="2.869999886"/>
    <n v="0"/>
    <n v="35"/>
    <n v="41"/>
    <n v="195"/>
    <n v="659"/>
    <n v="271"/>
    <n v="930"/>
    <x v="0"/>
    <n v="2046"/>
  </r>
  <r>
    <n v="6962181067"/>
    <d v="2016-04-20T00:00:00"/>
    <s v="Wednesday"/>
    <x v="0"/>
    <n v="13928"/>
    <n v="9.5500001910000005"/>
    <n v="9.5500001910000005"/>
    <n v="0"/>
    <n v="4.2800002099999999"/>
    <n v="0.189999998"/>
    <n v="5.0900001530000001"/>
    <n v="0"/>
    <n v="48"/>
    <n v="4"/>
    <n v="297"/>
    <n v="639"/>
    <n v="349"/>
    <n v="988"/>
    <x v="0"/>
    <n v="2174"/>
  </r>
  <r>
    <n v="6962181067"/>
    <d v="2016-04-21T00:00:00"/>
    <s v="Thursday"/>
    <x v="0"/>
    <n v="11835"/>
    <n v="9.7100000380000004"/>
    <n v="7.8800001139999996"/>
    <n v="4.0816922189999998"/>
    <n v="3.9900000100000002"/>
    <n v="2.0999999049999998"/>
    <n v="3.5099999899999998"/>
    <n v="0.109999999"/>
    <n v="53"/>
    <n v="27"/>
    <n v="214"/>
    <n v="708"/>
    <n v="294"/>
    <n v="1002"/>
    <x v="0"/>
    <n v="2179"/>
  </r>
  <r>
    <n v="6962181067"/>
    <d v="2016-04-22T00:00:00"/>
    <s v="Friday"/>
    <x v="0"/>
    <n v="10725"/>
    <n v="7.0900001530000001"/>
    <n v="7.0900001530000001"/>
    <n v="0"/>
    <n v="1.769999981"/>
    <n v="1.5499999520000001"/>
    <n v="3.7699999809999998"/>
    <n v="0"/>
    <n v="30"/>
    <n v="33"/>
    <n v="240"/>
    <n v="659"/>
    <n v="303"/>
    <n v="962"/>
    <x v="0"/>
    <n v="2086"/>
  </r>
  <r>
    <n v="6962181067"/>
    <d v="2016-04-23T00:00:00"/>
    <s v="Saturday"/>
    <x v="1"/>
    <n v="20031"/>
    <n v="13.239999770000001"/>
    <n v="13.239999770000001"/>
    <n v="0"/>
    <n v="4.1999998090000004"/>
    <n v="2"/>
    <n v="7.0399999619999996"/>
    <n v="0"/>
    <n v="58"/>
    <n v="41"/>
    <n v="347"/>
    <n v="484"/>
    <n v="446"/>
    <n v="930"/>
    <x v="0"/>
    <n v="2571"/>
  </r>
  <r>
    <n v="6962181067"/>
    <d v="2016-04-24T00:00:00"/>
    <s v="Sunday"/>
    <x v="1"/>
    <n v="5029"/>
    <n v="3.3199999330000001"/>
    <n v="3.3199999330000001"/>
    <n v="0"/>
    <n v="0"/>
    <n v="0"/>
    <n v="3.3199999330000001"/>
    <n v="0"/>
    <n v="0"/>
    <n v="0"/>
    <n v="199"/>
    <n v="720"/>
    <n v="199"/>
    <n v="919"/>
    <x v="3"/>
    <n v="1705"/>
  </r>
  <r>
    <n v="6962181067"/>
    <d v="2016-04-25T00:00:00"/>
    <s v="Monday"/>
    <x v="0"/>
    <n v="13239"/>
    <n v="9.2700004580000002"/>
    <n v="9.0799999239999991"/>
    <n v="2.7851750850000001"/>
    <n v="3.0199999809999998"/>
    <n v="1.6799999480000001"/>
    <n v="4.4600000380000004"/>
    <n v="0.10000000100000001"/>
    <n v="35"/>
    <n v="31"/>
    <n v="282"/>
    <n v="637"/>
    <n v="348"/>
    <n v="985"/>
    <x v="0"/>
    <n v="2194"/>
  </r>
  <r>
    <n v="6962181067"/>
    <d v="2016-04-26T00:00:00"/>
    <s v="Tuesday"/>
    <x v="0"/>
    <n v="10433"/>
    <n v="6.9000000950000002"/>
    <n v="6.9000000950000002"/>
    <n v="0"/>
    <n v="2.579999924"/>
    <n v="0.41999998700000002"/>
    <n v="3.9000000950000002"/>
    <n v="0"/>
    <n v="36"/>
    <n v="7"/>
    <n v="254"/>
    <n v="680"/>
    <n v="297"/>
    <n v="977"/>
    <x v="0"/>
    <n v="2012"/>
  </r>
  <r>
    <n v="6962181067"/>
    <d v="2016-04-27T00:00:00"/>
    <s v="Wednesday"/>
    <x v="0"/>
    <n v="10320"/>
    <n v="6.8200001720000003"/>
    <n v="6.8200001720000003"/>
    <n v="0"/>
    <n v="0.55000001200000004"/>
    <n v="2.0199999809999998"/>
    <n v="4.25"/>
    <n v="0"/>
    <n v="7"/>
    <n v="38"/>
    <n v="279"/>
    <n v="697"/>
    <n v="324"/>
    <n v="1021"/>
    <x v="0"/>
    <n v="2034"/>
  </r>
  <r>
    <n v="6962181067"/>
    <d v="2016-04-28T00:00:00"/>
    <s v="Thursday"/>
    <x v="0"/>
    <n v="12627"/>
    <n v="8.3500003809999992"/>
    <n v="8.3500003809999992"/>
    <n v="0"/>
    <n v="2.5099999899999998"/>
    <n v="0.23999999499999999"/>
    <n v="5.5900001530000001"/>
    <n v="0"/>
    <n v="38"/>
    <n v="8"/>
    <n v="288"/>
    <n v="621"/>
    <n v="334"/>
    <n v="955"/>
    <x v="0"/>
    <n v="2182"/>
  </r>
  <r>
    <n v="6962181067"/>
    <d v="2016-04-29T00:00:00"/>
    <s v="Friday"/>
    <x v="0"/>
    <n v="10762"/>
    <n v="7.1100001339999999"/>
    <n v="7.1100001339999999"/>
    <n v="0"/>
    <n v="0.81999999300000004"/>
    <n v="0.47999998900000002"/>
    <n v="5.8099999430000002"/>
    <n v="0"/>
    <n v="12"/>
    <n v="15"/>
    <n v="369"/>
    <n v="645"/>
    <n v="396"/>
    <n v="1041"/>
    <x v="0"/>
    <n v="2254"/>
  </r>
  <r>
    <n v="6962181067"/>
    <d v="2016-04-30T00:00:00"/>
    <s v="Saturday"/>
    <x v="1"/>
    <n v="10081"/>
    <n v="6.6599998469999999"/>
    <n v="6.6599998469999999"/>
    <n v="0"/>
    <n v="2.2400000100000002"/>
    <n v="0.75999998999999996"/>
    <n v="3.670000076"/>
    <n v="0"/>
    <n v="32"/>
    <n v="16"/>
    <n v="237"/>
    <n v="731"/>
    <n v="285"/>
    <n v="1016"/>
    <x v="0"/>
    <n v="2002"/>
  </r>
  <r>
    <n v="6962181067"/>
    <d v="2016-05-01T00:00:00"/>
    <s v="Sunday"/>
    <x v="1"/>
    <n v="5454"/>
    <n v="3.6099998950000001"/>
    <n v="3.6099998950000001"/>
    <n v="0"/>
    <n v="0"/>
    <n v="0"/>
    <n v="3.6099998950000001"/>
    <n v="0"/>
    <n v="0"/>
    <n v="0"/>
    <n v="215"/>
    <n v="722"/>
    <n v="215"/>
    <n v="937"/>
    <x v="3"/>
    <n v="1740"/>
  </r>
  <r>
    <n v="6962181067"/>
    <d v="2016-05-02T00:00:00"/>
    <s v="Monday"/>
    <x v="0"/>
    <n v="12912"/>
    <n v="8.5399999619999996"/>
    <n v="8.5399999619999996"/>
    <n v="0"/>
    <n v="1.2000000479999999"/>
    <n v="2"/>
    <n v="5.3400001530000001"/>
    <n v="0"/>
    <n v="18"/>
    <n v="39"/>
    <n v="313"/>
    <n v="655"/>
    <n v="370"/>
    <n v="1025"/>
    <x v="0"/>
    <n v="2162"/>
  </r>
  <r>
    <n v="6962181067"/>
    <d v="2016-05-03T00:00:00"/>
    <s v="Tuesday"/>
    <x v="0"/>
    <n v="12109"/>
    <n v="8.1199998860000004"/>
    <n v="8.1199998860000004"/>
    <n v="0"/>
    <n v="1.7400000099999999"/>
    <n v="2.039999962"/>
    <n v="4.329999924"/>
    <n v="0"/>
    <n v="21"/>
    <n v="36"/>
    <n v="267"/>
    <n v="654"/>
    <n v="324"/>
    <n v="978"/>
    <x v="0"/>
    <n v="2072"/>
  </r>
  <r>
    <n v="6962181067"/>
    <d v="2016-05-04T00:00:00"/>
    <s v="Wednesday"/>
    <x v="0"/>
    <n v="10147"/>
    <n v="6.7100000380000004"/>
    <n v="6.7100000380000004"/>
    <n v="0"/>
    <n v="0.469999999"/>
    <n v="1.6799999480000001"/>
    <n v="4.5500001909999996"/>
    <n v="0"/>
    <n v="15"/>
    <n v="36"/>
    <n v="284"/>
    <n v="683"/>
    <n v="335"/>
    <n v="1018"/>
    <x v="0"/>
    <n v="2086"/>
  </r>
  <r>
    <n v="6962181067"/>
    <d v="2016-05-05T00:00:00"/>
    <s v="Thursday"/>
    <x v="0"/>
    <n v="10524"/>
    <n v="6.9600000380000004"/>
    <n v="6.9600000380000004"/>
    <n v="0"/>
    <n v="0.99000001000000004"/>
    <n v="1.1599999670000001"/>
    <n v="4.8099999430000002"/>
    <n v="0"/>
    <n v="14"/>
    <n v="22"/>
    <n v="305"/>
    <n v="591"/>
    <n v="341"/>
    <n v="932"/>
    <x v="0"/>
    <n v="2066"/>
  </r>
  <r>
    <n v="6962181067"/>
    <d v="2016-05-06T00:00:00"/>
    <s v="Friday"/>
    <x v="0"/>
    <n v="5908"/>
    <n v="3.9100000860000002"/>
    <n v="3.9100000860000002"/>
    <n v="0"/>
    <n v="0"/>
    <n v="0"/>
    <n v="3.9100000860000002"/>
    <n v="0"/>
    <n v="0"/>
    <n v="0"/>
    <n v="299"/>
    <n v="717"/>
    <n v="299"/>
    <n v="1016"/>
    <x v="3"/>
    <n v="1850"/>
  </r>
  <r>
    <n v="6962181067"/>
    <d v="2016-05-07T00:00:00"/>
    <s v="Saturday"/>
    <x v="1"/>
    <n v="6815"/>
    <n v="4.5"/>
    <n v="4.5"/>
    <n v="0"/>
    <n v="0"/>
    <n v="0"/>
    <n v="4.5"/>
    <n v="0"/>
    <n v="0"/>
    <n v="0"/>
    <n v="328"/>
    <n v="745"/>
    <n v="328"/>
    <n v="1073"/>
    <x v="3"/>
    <n v="1947"/>
  </r>
  <r>
    <n v="6962181067"/>
    <d v="2016-05-08T00:00:00"/>
    <s v="Sunday"/>
    <x v="1"/>
    <n v="4188"/>
    <n v="2.7699999809999998"/>
    <n v="2.7699999809999998"/>
    <n v="0"/>
    <n v="0"/>
    <n v="0.519999981"/>
    <n v="2.25"/>
    <n v="0"/>
    <n v="0"/>
    <n v="14"/>
    <n v="151"/>
    <n v="709"/>
    <n v="165"/>
    <n v="874"/>
    <x v="2"/>
    <n v="1659"/>
  </r>
  <r>
    <n v="6962181067"/>
    <d v="2016-05-09T00:00:00"/>
    <s v="Monday"/>
    <x v="0"/>
    <n v="12342"/>
    <n v="8.7200002669999996"/>
    <n v="8.6800003050000001"/>
    <n v="3.1678218839999999"/>
    <n v="3.9000000950000002"/>
    <n v="1.1799999480000001"/>
    <n v="3.6500000950000002"/>
    <n v="0"/>
    <n v="43"/>
    <n v="21"/>
    <n v="231"/>
    <n v="607"/>
    <n v="295"/>
    <n v="902"/>
    <x v="0"/>
    <n v="2105"/>
  </r>
  <r>
    <n v="6962181067"/>
    <d v="2016-05-10T00:00:00"/>
    <s v="Tuesday"/>
    <x v="0"/>
    <n v="15448"/>
    <n v="10.210000040000001"/>
    <n v="10.210000040000001"/>
    <n v="0"/>
    <n v="3.4700000289999999"/>
    <n v="1.75"/>
    <n v="4.9899997709999999"/>
    <n v="0"/>
    <n v="62"/>
    <n v="34"/>
    <n v="275"/>
    <n v="626"/>
    <n v="371"/>
    <n v="997"/>
    <x v="0"/>
    <n v="2361"/>
  </r>
  <r>
    <n v="6962181067"/>
    <d v="2016-05-11T00:00:00"/>
    <s v="Wednesday"/>
    <x v="0"/>
    <n v="6722"/>
    <n v="4.4400000569999998"/>
    <n v="4.4400000569999998"/>
    <n v="0"/>
    <n v="1.4900000099999999"/>
    <n v="0.310000002"/>
    <n v="2.6500000950000002"/>
    <n v="0"/>
    <n v="24"/>
    <n v="7"/>
    <n v="199"/>
    <n v="709"/>
    <n v="230"/>
    <n v="939"/>
    <x v="3"/>
    <n v="1855"/>
  </r>
  <r>
    <n v="7007744171"/>
    <d v="2016-04-01T00:00:00"/>
    <s v="Friday"/>
    <x v="0"/>
    <n v="11680"/>
    <n v="9.0600004199999997"/>
    <n v="7.8099999430000002"/>
    <n v="4.9012827870000004"/>
    <n v="4.4899997709999999"/>
    <n v="0.33000001299999998"/>
    <n v="4.2399997709999999"/>
    <n v="0"/>
    <n v="50"/>
    <n v="7"/>
    <n v="244"/>
    <n v="1139"/>
    <n v="301"/>
    <n v="1440"/>
    <x v="0"/>
    <n v="2573"/>
  </r>
  <r>
    <n v="7007744171"/>
    <d v="2016-04-02T00:00:00"/>
    <s v="Saturday"/>
    <x v="1"/>
    <n v="10976"/>
    <n v="7.3400001530000001"/>
    <n v="7.3400001530000001"/>
    <n v="0"/>
    <n v="0.55000001200000004"/>
    <n v="0.670000017"/>
    <n v="6.1300001139999996"/>
    <n v="0"/>
    <n v="9"/>
    <n v="16"/>
    <n v="271"/>
    <n v="1075"/>
    <n v="296"/>
    <n v="1371"/>
    <x v="0"/>
    <n v="2575"/>
  </r>
  <r>
    <n v="7007744171"/>
    <d v="2016-04-03T00:00:00"/>
    <s v="Sunday"/>
    <x v="1"/>
    <n v="16806"/>
    <n v="11.239999770000001"/>
    <n v="11.239999770000001"/>
    <n v="0"/>
    <n v="6.4099998469999999"/>
    <n v="1.3700000050000001"/>
    <n v="3.4700000289999999"/>
    <n v="0"/>
    <n v="104"/>
    <n v="31"/>
    <n v="230"/>
    <n v="1002"/>
    <n v="365"/>
    <n v="1367"/>
    <x v="0"/>
    <n v="3086"/>
  </r>
  <r>
    <n v="7007744171"/>
    <d v="2016-04-04T00:00:00"/>
    <s v="Monday"/>
    <x v="0"/>
    <n v="15266"/>
    <n v="11.399999619999999"/>
    <n v="10.210000040000001"/>
    <n v="5.1898498540000002"/>
    <n v="5.8000001909999996"/>
    <n v="0.75999998999999996"/>
    <n v="4.7899999619999996"/>
    <n v="5.0000001000000002E-2"/>
    <n v="70"/>
    <n v="21"/>
    <n v="292"/>
    <n v="1057"/>
    <n v="383"/>
    <n v="1440"/>
    <x v="0"/>
    <n v="2886"/>
  </r>
  <r>
    <n v="7007744171"/>
    <d v="2016-04-05T00:00:00"/>
    <s v="Tuesday"/>
    <x v="0"/>
    <n v="12084"/>
    <n v="9.1400003430000005"/>
    <n v="8.0799999239999991"/>
    <n v="4.8363800049999996"/>
    <n v="4.3899998660000001"/>
    <n v="0.46000000800000002"/>
    <n v="4.2899999619999996"/>
    <n v="0"/>
    <n v="50"/>
    <n v="6"/>
    <n v="284"/>
    <n v="1030"/>
    <n v="340"/>
    <n v="1370"/>
    <x v="0"/>
    <n v="2676"/>
  </r>
  <r>
    <n v="7007744171"/>
    <d v="2016-04-06T00:00:00"/>
    <s v="Wednesday"/>
    <x v="0"/>
    <n v="13513"/>
    <n v="10.25"/>
    <n v="9.0699996949999999"/>
    <n v="4.835720062"/>
    <n v="5.3499999049999998"/>
    <n v="0.33000001299999998"/>
    <n v="4.5599999430000002"/>
    <n v="0"/>
    <n v="64"/>
    <n v="8"/>
    <n v="270"/>
    <n v="1098"/>
    <n v="342"/>
    <n v="1440"/>
    <x v="0"/>
    <n v="2811"/>
  </r>
  <r>
    <n v="7007744171"/>
    <d v="2016-04-07T00:00:00"/>
    <s v="Thursday"/>
    <x v="0"/>
    <n v="14100"/>
    <n v="10.579999920000001"/>
    <n v="9.4300003050000001"/>
    <n v="4.8759899139999998"/>
    <n v="5.0999999049999998"/>
    <n v="1.190000057"/>
    <n v="4.2800002099999999"/>
    <n v="0"/>
    <n v="61"/>
    <n v="33"/>
    <n v="265"/>
    <n v="1015"/>
    <n v="359"/>
    <n v="1374"/>
    <x v="0"/>
    <n v="2840"/>
  </r>
  <r>
    <n v="7007744171"/>
    <d v="2016-04-08T00:00:00"/>
    <s v="Friday"/>
    <x v="0"/>
    <n v="12627"/>
    <n v="9.6499996190000008"/>
    <n v="8.4499998089999995"/>
    <n v="4.8423199649999997"/>
    <n v="4.6999998090000004"/>
    <n v="0.74000001000000004"/>
    <n v="4.2100000380000004"/>
    <n v="0"/>
    <n v="54"/>
    <n v="22"/>
    <n v="301"/>
    <n v="1063"/>
    <n v="377"/>
    <n v="1440"/>
    <x v="0"/>
    <n v="2871"/>
  </r>
  <r>
    <n v="7007744171"/>
    <d v="2016-04-09T00:00:00"/>
    <s v="Saturday"/>
    <x v="1"/>
    <n v="10345"/>
    <n v="6.920000076"/>
    <n v="6.920000076"/>
    <n v="0"/>
    <n v="7.0000000000000007E-2"/>
    <n v="0.27000001099999998"/>
    <n v="6.579999924"/>
    <n v="0"/>
    <n v="2"/>
    <n v="6"/>
    <n v="358"/>
    <n v="1074"/>
    <n v="366"/>
    <n v="1440"/>
    <x v="0"/>
    <n v="2613"/>
  </r>
  <r>
    <n v="7007744171"/>
    <d v="2016-04-10T00:00:00"/>
    <s v="Sunday"/>
    <x v="1"/>
    <n v="10146"/>
    <n v="6.7899999619999996"/>
    <n v="6.7899999619999996"/>
    <n v="0"/>
    <n v="7.0000000000000007E-2"/>
    <n v="0.61000001400000003"/>
    <n v="6.1100001339999999"/>
    <n v="0"/>
    <n v="1"/>
    <n v="12"/>
    <n v="397"/>
    <n v="1030"/>
    <n v="410"/>
    <n v="1440"/>
    <x v="0"/>
    <n v="2700"/>
  </r>
  <r>
    <n v="7007744171"/>
    <d v="2016-04-11T00:00:00"/>
    <s v="Monday"/>
    <x v="0"/>
    <n v="12168"/>
    <n v="8.1400003430000005"/>
    <n v="8.1400003430000005"/>
    <n v="0"/>
    <n v="1.0499999520000001"/>
    <n v="0.790000021"/>
    <n v="6.2899999619999996"/>
    <n v="0"/>
    <n v="18"/>
    <n v="27"/>
    <n v="375"/>
    <n v="1020"/>
    <n v="420"/>
    <n v="1440"/>
    <x v="0"/>
    <n v="2871"/>
  </r>
  <r>
    <n v="7007744171"/>
    <d v="2016-04-13T00:00:00"/>
    <s v="Wednesday"/>
    <x v="0"/>
    <n v="12862"/>
    <n v="9.6499996190000008"/>
    <n v="8.6000003809999992"/>
    <n v="4.8513069150000003"/>
    <n v="4.6100001339999999"/>
    <n v="0.560000002"/>
    <n v="4.4800000190000002"/>
    <n v="0"/>
    <n v="56"/>
    <n v="22"/>
    <n v="261"/>
    <n v="1101"/>
    <n v="339"/>
    <n v="1440"/>
    <x v="0"/>
    <n v="2742"/>
  </r>
  <r>
    <n v="7007744171"/>
    <d v="2016-04-14T00:00:00"/>
    <s v="Thursday"/>
    <x v="0"/>
    <n v="11179"/>
    <n v="8.2399997710000008"/>
    <n v="7.4800000190000002"/>
    <n v="3.2854149339999998"/>
    <n v="2.9500000480000002"/>
    <n v="0.34000000400000002"/>
    <n v="4.9600000380000004"/>
    <n v="0"/>
    <n v="34"/>
    <n v="6"/>
    <n v="304"/>
    <n v="1096"/>
    <n v="344"/>
    <n v="1440"/>
    <x v="0"/>
    <n v="2668"/>
  </r>
  <r>
    <n v="7007744171"/>
    <d v="2016-04-15T00:00:00"/>
    <s v="Friday"/>
    <x v="0"/>
    <n v="5273"/>
    <n v="3.5299999710000001"/>
    <n v="3.5299999710000001"/>
    <n v="0"/>
    <n v="0"/>
    <n v="0"/>
    <n v="3.5299999710000001"/>
    <n v="0"/>
    <n v="0"/>
    <n v="0"/>
    <n v="202"/>
    <n v="1238"/>
    <n v="202"/>
    <n v="1440"/>
    <x v="3"/>
    <n v="2098"/>
  </r>
  <r>
    <n v="7007744171"/>
    <d v="2016-04-16T00:00:00"/>
    <s v="Saturday"/>
    <x v="1"/>
    <n v="4631"/>
    <n v="3.0999999049999998"/>
    <n v="3.0999999049999998"/>
    <n v="0"/>
    <n v="0"/>
    <n v="0"/>
    <n v="3.0999999049999998"/>
    <n v="0"/>
    <n v="0"/>
    <n v="0"/>
    <n v="203"/>
    <n v="1155"/>
    <n v="203"/>
    <n v="1358"/>
    <x v="2"/>
    <n v="2076"/>
  </r>
  <r>
    <n v="7007744171"/>
    <d v="2016-04-17T00:00:00"/>
    <s v="Sunday"/>
    <x v="1"/>
    <n v="8059"/>
    <n v="5.3899998660000001"/>
    <n v="5.3899998660000001"/>
    <n v="0"/>
    <n v="0"/>
    <n v="0"/>
    <n v="5.3899998660000001"/>
    <n v="0"/>
    <n v="0"/>
    <n v="0"/>
    <n v="305"/>
    <n v="1135"/>
    <n v="305"/>
    <n v="1440"/>
    <x v="1"/>
    <n v="2383"/>
  </r>
  <r>
    <n v="7007744171"/>
    <d v="2016-04-18T00:00:00"/>
    <s v="Monday"/>
    <x v="0"/>
    <n v="14816"/>
    <n v="10.97999954"/>
    <n v="9.9099998469999999"/>
    <n v="4.9305500980000003"/>
    <n v="3.789999962"/>
    <n v="2.119999886"/>
    <n v="5.0500001909999996"/>
    <n v="0.02"/>
    <n v="48"/>
    <n v="31"/>
    <n v="284"/>
    <n v="1077"/>
    <n v="363"/>
    <n v="1440"/>
    <x v="0"/>
    <n v="2832"/>
  </r>
  <r>
    <n v="7007744171"/>
    <d v="2016-04-19T00:00:00"/>
    <s v="Tuesday"/>
    <x v="0"/>
    <n v="14194"/>
    <n v="10.47999954"/>
    <n v="9.5"/>
    <n v="4.9421420100000004"/>
    <n v="4.4099998469999999"/>
    <n v="0.75999998999999996"/>
    <n v="5.3099999430000002"/>
    <n v="0"/>
    <n v="53"/>
    <n v="17"/>
    <n v="304"/>
    <n v="1066"/>
    <n v="374"/>
    <n v="1440"/>
    <x v="0"/>
    <n v="2812"/>
  </r>
  <r>
    <n v="7007744171"/>
    <d v="2016-04-20T00:00:00"/>
    <s v="Wednesday"/>
    <x v="0"/>
    <n v="15566"/>
    <n v="11.31000042"/>
    <n v="10.40999985"/>
    <n v="4.924840927"/>
    <n v="4.7899999619999996"/>
    <n v="0.670000017"/>
    <n v="5.8600001339999999"/>
    <n v="0"/>
    <n v="60"/>
    <n v="33"/>
    <n v="347"/>
    <n v="1000"/>
    <n v="440"/>
    <n v="1440"/>
    <x v="0"/>
    <n v="3096"/>
  </r>
  <r>
    <n v="7007744171"/>
    <d v="2016-04-21T00:00:00"/>
    <s v="Thursday"/>
    <x v="0"/>
    <n v="13744"/>
    <n v="9.1899995800000003"/>
    <n v="9.1899995800000003"/>
    <n v="0"/>
    <n v="2.1500000950000002"/>
    <n v="1.8700000050000001"/>
    <n v="5.170000076"/>
    <n v="0"/>
    <n v="30"/>
    <n v="34"/>
    <n v="327"/>
    <n v="1049"/>
    <n v="391"/>
    <n v="1440"/>
    <x v="0"/>
    <n v="2763"/>
  </r>
  <r>
    <n v="7007744171"/>
    <d v="2016-04-22T00:00:00"/>
    <s v="Friday"/>
    <x v="0"/>
    <n v="15299"/>
    <n v="10.239999770000001"/>
    <n v="10.239999770000001"/>
    <n v="0"/>
    <n v="4.0999999049999998"/>
    <n v="1.7599999900000001"/>
    <n v="4.3699998860000004"/>
    <n v="0"/>
    <n v="64"/>
    <n v="50"/>
    <n v="261"/>
    <n v="1065"/>
    <n v="375"/>
    <n v="1440"/>
    <x v="0"/>
    <n v="2889"/>
  </r>
  <r>
    <n v="7007744171"/>
    <d v="2016-04-23T00:00:00"/>
    <s v="Saturday"/>
    <x v="1"/>
    <n v="8093"/>
    <n v="5.4099998469999999"/>
    <n v="5.4099998469999999"/>
    <n v="0"/>
    <n v="0.12999999500000001"/>
    <n v="1.1299999949999999"/>
    <n v="4.1500000950000002"/>
    <n v="0"/>
    <n v="2"/>
    <n v="25"/>
    <n v="223"/>
    <n v="1190"/>
    <n v="250"/>
    <n v="1440"/>
    <x v="1"/>
    <n v="2284"/>
  </r>
  <r>
    <n v="7007744171"/>
    <d v="2016-04-24T00:00:00"/>
    <s v="Sunday"/>
    <x v="1"/>
    <n v="11085"/>
    <n v="7.420000076"/>
    <n v="7.420000076"/>
    <n v="0"/>
    <n v="0"/>
    <n v="0"/>
    <n v="7.420000076"/>
    <n v="0"/>
    <n v="0"/>
    <n v="0"/>
    <n v="419"/>
    <n v="1021"/>
    <n v="419"/>
    <n v="1440"/>
    <x v="0"/>
    <n v="2667"/>
  </r>
  <r>
    <n v="7007744171"/>
    <d v="2016-04-25T00:00:00"/>
    <s v="Monday"/>
    <x v="0"/>
    <n v="18229"/>
    <n v="13.34000015"/>
    <n v="12.19999981"/>
    <n v="4.8617920879999996"/>
    <n v="4.3099999430000002"/>
    <n v="1.3700000050000001"/>
    <n v="7.670000076"/>
    <n v="0"/>
    <n v="51"/>
    <n v="24"/>
    <n v="379"/>
    <n v="986"/>
    <n v="454"/>
    <n v="1440"/>
    <x v="0"/>
    <n v="3055"/>
  </r>
  <r>
    <n v="7007744171"/>
    <d v="2016-04-26T00:00:00"/>
    <s v="Tuesday"/>
    <x v="0"/>
    <n v="15090"/>
    <n v="10.100000380000001"/>
    <n v="10.100000380000001"/>
    <n v="0"/>
    <n v="0.93000000699999996"/>
    <n v="0.939999998"/>
    <n v="8.2299995419999998"/>
    <n v="0"/>
    <n v="16"/>
    <n v="22"/>
    <n v="424"/>
    <n v="978"/>
    <n v="462"/>
    <n v="1440"/>
    <x v="0"/>
    <n v="2939"/>
  </r>
  <r>
    <n v="7007744171"/>
    <d v="2016-04-27T00:00:00"/>
    <s v="Wednesday"/>
    <x v="0"/>
    <n v="13541"/>
    <n v="10.22000027"/>
    <n v="9.0600004199999997"/>
    <n v="4.8856048579999998"/>
    <n v="4.2699999809999998"/>
    <n v="0.66000002599999996"/>
    <n v="5.2899999619999996"/>
    <n v="0"/>
    <n v="50"/>
    <n v="12"/>
    <n v="337"/>
    <n v="1041"/>
    <n v="399"/>
    <n v="1440"/>
    <x v="0"/>
    <n v="2830"/>
  </r>
  <r>
    <n v="7007744171"/>
    <d v="2016-04-28T00:00:00"/>
    <s v="Thursday"/>
    <x v="0"/>
    <n v="15128"/>
    <n v="10.119999890000001"/>
    <n v="10.119999890000001"/>
    <n v="0"/>
    <n v="1.0900000329999999"/>
    <n v="0.769999981"/>
    <n v="8.2600002289999992"/>
    <n v="0"/>
    <n v="16"/>
    <n v="16"/>
    <n v="401"/>
    <n v="1007"/>
    <n v="433"/>
    <n v="1440"/>
    <x v="0"/>
    <n v="2836"/>
  </r>
  <r>
    <n v="7007744171"/>
    <d v="2016-04-29T00:00:00"/>
    <s v="Friday"/>
    <x v="0"/>
    <n v="20067"/>
    <n v="14.30000019"/>
    <n v="13.420000079999999"/>
    <n v="4.9111461639999998"/>
    <n v="4.3099999430000002"/>
    <n v="2.0499999519999998"/>
    <n v="7.9499998090000004"/>
    <n v="0"/>
    <n v="55"/>
    <n v="42"/>
    <n v="382"/>
    <n v="961"/>
    <n v="479"/>
    <n v="1440"/>
    <x v="0"/>
    <n v="3180"/>
  </r>
  <r>
    <n v="7007744171"/>
    <d v="2016-04-30T00:00:00"/>
    <s v="Saturday"/>
    <x v="1"/>
    <n v="3761"/>
    <n v="2.5199999809999998"/>
    <n v="2.5199999809999998"/>
    <n v="0"/>
    <n v="0"/>
    <n v="0"/>
    <n v="2.5199999809999998"/>
    <n v="0"/>
    <n v="0"/>
    <n v="0"/>
    <n v="200"/>
    <n v="1240"/>
    <n v="200"/>
    <n v="1440"/>
    <x v="2"/>
    <n v="2051"/>
  </r>
  <r>
    <n v="7007744171"/>
    <d v="2016-05-01T00:00:00"/>
    <s v="Sunday"/>
    <x v="1"/>
    <n v="5600"/>
    <n v="3.75"/>
    <n v="3.75"/>
    <n v="0"/>
    <n v="0"/>
    <n v="0"/>
    <n v="3.75"/>
    <n v="0"/>
    <n v="0"/>
    <n v="0"/>
    <n v="237"/>
    <n v="1142"/>
    <n v="237"/>
    <n v="1379"/>
    <x v="3"/>
    <n v="2225"/>
  </r>
  <r>
    <n v="7007744171"/>
    <d v="2016-05-02T00:00:00"/>
    <s v="Monday"/>
    <x v="0"/>
    <n v="13041"/>
    <n v="9.1800003050000001"/>
    <n v="8.7200002669999996"/>
    <n v="2.8323259350000001"/>
    <n v="4.6399998660000001"/>
    <n v="0.69999998799999996"/>
    <n v="3.829999924"/>
    <n v="0"/>
    <n v="64"/>
    <n v="14"/>
    <n v="250"/>
    <n v="1112"/>
    <n v="328"/>
    <n v="1440"/>
    <x v="0"/>
    <n v="2642"/>
  </r>
  <r>
    <n v="7007744171"/>
    <d v="2016-05-03T00:00:00"/>
    <s v="Tuesday"/>
    <x v="0"/>
    <n v="14510"/>
    <n v="10.869999890000001"/>
    <n v="9.7100000380000004"/>
    <n v="4.9123678210000001"/>
    <n v="4.4800000190000002"/>
    <n v="1.019999981"/>
    <n v="5.3600001339999999"/>
    <n v="0"/>
    <n v="58"/>
    <n v="31"/>
    <n v="330"/>
    <n v="1021"/>
    <n v="419"/>
    <n v="1440"/>
    <x v="0"/>
    <n v="2976"/>
  </r>
  <r>
    <n v="7007744171"/>
    <d v="2016-05-05T00:00:00"/>
    <s v="Thursday"/>
    <x v="0"/>
    <n v="15010"/>
    <n v="11.100000380000001"/>
    <n v="10.039999959999999"/>
    <n v="4.8782320019999998"/>
    <n v="4.329999924"/>
    <n v="1.289999962"/>
    <n v="5.4800000190000002"/>
    <n v="0"/>
    <n v="53"/>
    <n v="23"/>
    <n v="317"/>
    <n v="1047"/>
    <n v="393"/>
    <n v="1440"/>
    <x v="0"/>
    <n v="2933"/>
  </r>
  <r>
    <n v="7007744171"/>
    <d v="2016-05-06T00:00:00"/>
    <s v="Friday"/>
    <x v="0"/>
    <n v="11459"/>
    <n v="7.670000076"/>
    <n v="7.670000076"/>
    <n v="0"/>
    <n v="3"/>
    <n v="0.810000002"/>
    <n v="3.8599998950000001"/>
    <n v="0"/>
    <n v="44"/>
    <n v="13"/>
    <n v="247"/>
    <n v="1136"/>
    <n v="304"/>
    <n v="1440"/>
    <x v="0"/>
    <n v="2553"/>
  </r>
  <r>
    <n v="7086361926"/>
    <d v="2016-04-01T00:00:00"/>
    <s v="Friday"/>
    <x v="0"/>
    <n v="11463"/>
    <n v="7.670000076"/>
    <n v="7.670000076"/>
    <n v="0"/>
    <n v="2.829999924"/>
    <n v="1.8899999860000001"/>
    <n v="2.9300000669999999"/>
    <n v="0"/>
    <n v="38"/>
    <n v="30"/>
    <n v="154"/>
    <n v="777"/>
    <n v="222"/>
    <n v="999"/>
    <x v="0"/>
    <n v="2496"/>
  </r>
  <r>
    <n v="7086361926"/>
    <d v="2016-04-03T00:00:00"/>
    <s v="Sunday"/>
    <x v="1"/>
    <n v="1949"/>
    <n v="1.309999943"/>
    <n v="1.309999943"/>
    <n v="0"/>
    <n v="0.23000000400000001"/>
    <n v="0.34999999399999998"/>
    <n v="0.730000019"/>
    <n v="0"/>
    <n v="3"/>
    <n v="6"/>
    <n v="27"/>
    <n v="1404"/>
    <n v="36"/>
    <n v="1440"/>
    <x v="2"/>
    <n v="1794"/>
  </r>
  <r>
    <n v="7086361926"/>
    <d v="2016-04-04T00:00:00"/>
    <s v="Monday"/>
    <x v="0"/>
    <n v="6101"/>
    <n v="3.869999886"/>
    <n v="3.869999886"/>
    <n v="0"/>
    <n v="0.52999997099999996"/>
    <n v="0.23000000400000001"/>
    <n v="3.0999999049999998"/>
    <n v="0"/>
    <n v="31"/>
    <n v="24"/>
    <n v="138"/>
    <n v="1247"/>
    <n v="193"/>
    <n v="1440"/>
    <x v="3"/>
    <n v="2421"/>
  </r>
  <r>
    <n v="7086361926"/>
    <d v="2016-04-05T00:00:00"/>
    <s v="Tuesday"/>
    <x v="0"/>
    <n v="7478"/>
    <n v="4.9899997709999999"/>
    <n v="4.9899997709999999"/>
    <n v="0"/>
    <n v="1.7999999520000001"/>
    <n v="0.52999997099999996"/>
    <n v="2.6099998950000001"/>
    <n v="2.9999998999999999E-2"/>
    <n v="25"/>
    <n v="33"/>
    <n v="132"/>
    <n v="1159"/>
    <n v="190"/>
    <n v="1349"/>
    <x v="3"/>
    <n v="2439"/>
  </r>
  <r>
    <n v="7086361926"/>
    <d v="2016-04-06T00:00:00"/>
    <s v="Wednesday"/>
    <x v="0"/>
    <n v="7352"/>
    <n v="4.7300000190000002"/>
    <n v="4.7300000190000002"/>
    <n v="0"/>
    <n v="1.4099999670000001"/>
    <n v="0.77999997099999996"/>
    <n v="2.5299999710000001"/>
    <n v="0"/>
    <n v="19"/>
    <n v="14"/>
    <n v="124"/>
    <n v="814"/>
    <n v="157"/>
    <n v="971"/>
    <x v="3"/>
    <n v="2233"/>
  </r>
  <r>
    <n v="7086361926"/>
    <d v="2016-04-07T00:00:00"/>
    <s v="Thursday"/>
    <x v="0"/>
    <n v="14604"/>
    <n v="10.81999969"/>
    <n v="10.81999969"/>
    <n v="0"/>
    <n v="7.2300000190000002"/>
    <n v="1.1200000050000001"/>
    <n v="2.4300000669999999"/>
    <n v="2.9999998999999999E-2"/>
    <n v="76"/>
    <n v="30"/>
    <n v="127"/>
    <n v="695"/>
    <n v="233"/>
    <n v="928"/>
    <x v="0"/>
    <n v="2862"/>
  </r>
  <r>
    <n v="7086361926"/>
    <d v="2016-04-08T00:00:00"/>
    <s v="Friday"/>
    <x v="0"/>
    <n v="9634"/>
    <n v="6.5199999809999998"/>
    <n v="6.5199999809999998"/>
    <n v="0"/>
    <n v="2.5"/>
    <n v="1.3999999759999999"/>
    <n v="2.5899999139999998"/>
    <n v="0"/>
    <n v="50"/>
    <n v="48"/>
    <n v="140"/>
    <n v="797"/>
    <n v="238"/>
    <n v="1035"/>
    <x v="1"/>
    <n v="2752"/>
  </r>
  <r>
    <n v="7086361926"/>
    <d v="2016-04-09T00:00:00"/>
    <s v="Saturday"/>
    <x v="1"/>
    <n v="7338"/>
    <n v="4.670000076"/>
    <n v="4.670000076"/>
    <n v="0"/>
    <n v="1.0800000430000001"/>
    <n v="0.12999999500000001"/>
    <n v="3.460000038"/>
    <n v="0"/>
    <n v="27"/>
    <n v="5"/>
    <n v="204"/>
    <n v="717"/>
    <n v="236"/>
    <n v="953"/>
    <x v="3"/>
    <n v="2519"/>
  </r>
  <r>
    <n v="7086361926"/>
    <d v="2016-04-10T00:00:00"/>
    <s v="Sunday"/>
    <x v="1"/>
    <n v="569"/>
    <n v="0.34999999399999998"/>
    <n v="0.34999999399999998"/>
    <n v="0"/>
    <n v="0"/>
    <n v="0"/>
    <n v="0.34000000400000002"/>
    <n v="0"/>
    <n v="0"/>
    <n v="0"/>
    <n v="27"/>
    <n v="1368"/>
    <n v="27"/>
    <n v="1395"/>
    <x v="2"/>
    <n v="1799"/>
  </r>
  <r>
    <n v="7086361926"/>
    <d v="2016-04-11T00:00:00"/>
    <s v="Monday"/>
    <x v="0"/>
    <n v="6242"/>
    <n v="3.920000076"/>
    <n v="3.920000076"/>
    <n v="0"/>
    <n v="0.74000001000000004"/>
    <n v="0.23000000400000001"/>
    <n v="2.9300000669999999"/>
    <n v="0"/>
    <n v="46"/>
    <n v="22"/>
    <n v="126"/>
    <n v="741"/>
    <n v="194"/>
    <n v="935"/>
    <x v="3"/>
    <n v="2543"/>
  </r>
  <r>
    <n v="7086361926"/>
    <d v="2016-04-13T00:00:00"/>
    <s v="Wednesday"/>
    <x v="0"/>
    <n v="5813"/>
    <n v="3.619999886"/>
    <n v="3.619999886"/>
    <n v="0"/>
    <n v="0.560000002"/>
    <n v="0.209999993"/>
    <n v="2.8399999139999998"/>
    <n v="0"/>
    <n v="31"/>
    <n v="26"/>
    <n v="155"/>
    <n v="744"/>
    <n v="212"/>
    <n v="956"/>
    <x v="3"/>
    <n v="2516"/>
  </r>
  <r>
    <n v="7086361926"/>
    <d v="2016-04-14T00:00:00"/>
    <s v="Thursday"/>
    <x v="0"/>
    <n v="9123"/>
    <n v="6.1199998860000004"/>
    <n v="6.1199998860000004"/>
    <n v="0"/>
    <n v="2.0299999710000001"/>
    <n v="0.33000001299999998"/>
    <n v="3.6600000860000002"/>
    <n v="0"/>
    <n v="35"/>
    <n v="32"/>
    <n v="189"/>
    <n v="787"/>
    <n v="256"/>
    <n v="1043"/>
    <x v="1"/>
    <n v="2734"/>
  </r>
  <r>
    <n v="7086361926"/>
    <d v="2016-04-15T00:00:00"/>
    <s v="Friday"/>
    <x v="0"/>
    <n v="8585"/>
    <n v="5.670000076"/>
    <n v="5.670000076"/>
    <n v="0"/>
    <n v="2.039999962"/>
    <n v="1.1100000139999999"/>
    <n v="2.5299999710000001"/>
    <n v="0"/>
    <n v="30"/>
    <n v="21"/>
    <n v="139"/>
    <n v="864"/>
    <n v="190"/>
    <n v="1054"/>
    <x v="1"/>
    <n v="2395"/>
  </r>
  <r>
    <n v="7086361926"/>
    <d v="2016-04-18T00:00:00"/>
    <s v="Monday"/>
    <x v="0"/>
    <n v="9827"/>
    <n v="6.7100000380000004"/>
    <n v="6.7100000380000004"/>
    <n v="0"/>
    <n v="3.170000076"/>
    <n v="1.2200000289999999"/>
    <n v="2.3099999430000002"/>
    <n v="0"/>
    <n v="61"/>
    <n v="51"/>
    <n v="114"/>
    <n v="1136"/>
    <n v="226"/>
    <n v="1362"/>
    <x v="1"/>
    <n v="2743"/>
  </r>
  <r>
    <n v="7086361926"/>
    <d v="2016-04-19T00:00:00"/>
    <s v="Tuesday"/>
    <x v="0"/>
    <n v="10688"/>
    <n v="7.2899999619999996"/>
    <n v="7.2899999619999996"/>
    <n v="0"/>
    <n v="3.5299999710000001"/>
    <n v="1.230000019"/>
    <n v="2.5099999899999998"/>
    <n v="0"/>
    <n v="67"/>
    <n v="69"/>
    <n v="124"/>
    <n v="671"/>
    <n v="260"/>
    <n v="931"/>
    <x v="0"/>
    <n v="2944"/>
  </r>
  <r>
    <n v="7086361926"/>
    <d v="2016-04-20T00:00:00"/>
    <s v="Wednesday"/>
    <x v="0"/>
    <n v="14365"/>
    <n v="10.64000034"/>
    <n v="10.64000034"/>
    <n v="0"/>
    <n v="7.6399998660000001"/>
    <n v="0.44999998800000002"/>
    <n v="2.539999962"/>
    <n v="0"/>
    <n v="87"/>
    <n v="13"/>
    <n v="145"/>
    <n v="797"/>
    <n v="245"/>
    <n v="1042"/>
    <x v="0"/>
    <n v="2997"/>
  </r>
  <r>
    <n v="7086361926"/>
    <d v="2016-04-21T00:00:00"/>
    <s v="Thursday"/>
    <x v="0"/>
    <n v="9469"/>
    <n v="6.1799998279999997"/>
    <n v="6.1799998279999997"/>
    <n v="0"/>
    <n v="1.3600000139999999"/>
    <n v="0.30000001199999998"/>
    <n v="4.5100002290000001"/>
    <n v="0"/>
    <n v="19"/>
    <n v="6"/>
    <n v="206"/>
    <n v="758"/>
    <n v="231"/>
    <n v="989"/>
    <x v="1"/>
    <n v="2463"/>
  </r>
  <r>
    <n v="7086361926"/>
    <d v="2016-04-22T00:00:00"/>
    <s v="Friday"/>
    <x v="0"/>
    <n v="9753"/>
    <n v="6.5300002099999999"/>
    <n v="6.5300002099999999"/>
    <n v="0"/>
    <n v="2.869999886"/>
    <n v="0.97000002900000004"/>
    <n v="2.670000076"/>
    <n v="0"/>
    <n v="58"/>
    <n v="59"/>
    <n v="153"/>
    <n v="762"/>
    <n v="270"/>
    <n v="1032"/>
    <x v="1"/>
    <n v="2846"/>
  </r>
  <r>
    <n v="7086361926"/>
    <d v="2016-04-23T00:00:00"/>
    <s v="Saturday"/>
    <x v="1"/>
    <n v="2817"/>
    <n v="1.809999943"/>
    <n v="1.809999943"/>
    <n v="0"/>
    <n v="0"/>
    <n v="0"/>
    <n v="1.7999999520000001"/>
    <n v="0"/>
    <n v="0"/>
    <n v="0"/>
    <n v="90"/>
    <n v="1350"/>
    <n v="90"/>
    <n v="1440"/>
    <x v="2"/>
    <n v="1965"/>
  </r>
  <r>
    <n v="7086361926"/>
    <d v="2016-04-24T00:00:00"/>
    <s v="Sunday"/>
    <x v="1"/>
    <n v="3520"/>
    <n v="2.1600000860000002"/>
    <n v="2.1600000860000002"/>
    <n v="0"/>
    <n v="0"/>
    <n v="0"/>
    <n v="2.1500000950000002"/>
    <n v="0"/>
    <n v="0"/>
    <n v="0"/>
    <n v="125"/>
    <n v="566"/>
    <n v="125"/>
    <n v="691"/>
    <x v="2"/>
    <n v="2049"/>
  </r>
  <r>
    <n v="7086361926"/>
    <d v="2016-04-25T00:00:00"/>
    <s v="Monday"/>
    <x v="0"/>
    <n v="10091"/>
    <n v="6.8200001720000003"/>
    <n v="6.8200001720000003"/>
    <n v="0"/>
    <n v="3.75"/>
    <n v="0.69999998799999996"/>
    <n v="2.369999886"/>
    <n v="0"/>
    <n v="69"/>
    <n v="39"/>
    <n v="129"/>
    <n v="706"/>
    <n v="237"/>
    <n v="943"/>
    <x v="0"/>
    <n v="2752"/>
  </r>
  <r>
    <n v="7086361926"/>
    <d v="2016-04-26T00:00:00"/>
    <s v="Tuesday"/>
    <x v="0"/>
    <n v="10387"/>
    <n v="7.0700001720000003"/>
    <n v="7.0700001720000003"/>
    <n v="0"/>
    <n v="4.1599998469999999"/>
    <n v="0.769999981"/>
    <n v="2.119999886"/>
    <n v="0"/>
    <n v="70"/>
    <n v="33"/>
    <n v="132"/>
    <n v="726"/>
    <n v="235"/>
    <n v="961"/>
    <x v="0"/>
    <n v="2781"/>
  </r>
  <r>
    <n v="7086361926"/>
    <d v="2016-04-27T00:00:00"/>
    <s v="Wednesday"/>
    <x v="0"/>
    <n v="11107"/>
    <n v="8.3400001530000001"/>
    <n v="8.3400001530000001"/>
    <n v="0"/>
    <n v="5.6300001139999996"/>
    <n v="0.18000000699999999"/>
    <n v="2.5299999710000001"/>
    <n v="0"/>
    <n v="55"/>
    <n v="6"/>
    <n v="145"/>
    <n v="829"/>
    <n v="206"/>
    <n v="1035"/>
    <x v="0"/>
    <n v="2693"/>
  </r>
  <r>
    <n v="7086361926"/>
    <d v="2016-04-28T00:00:00"/>
    <s v="Thursday"/>
    <x v="0"/>
    <n v="11584"/>
    <n v="7.8000001909999996"/>
    <n v="7.8000001909999996"/>
    <n v="0"/>
    <n v="2.789999962"/>
    <n v="1.6399999860000001"/>
    <n v="3.3599998950000001"/>
    <n v="0"/>
    <n v="54"/>
    <n v="48"/>
    <n v="161"/>
    <n v="810"/>
    <n v="263"/>
    <n v="1073"/>
    <x v="0"/>
    <n v="2862"/>
  </r>
  <r>
    <n v="7086361926"/>
    <d v="2016-04-29T00:00:00"/>
    <s v="Friday"/>
    <x v="0"/>
    <n v="7881"/>
    <n v="4.9499998090000004"/>
    <n v="4.9499998090000004"/>
    <n v="0"/>
    <n v="0.49000000999999999"/>
    <n v="0.44999998800000002"/>
    <n v="4"/>
    <n v="0"/>
    <n v="24"/>
    <n v="36"/>
    <n v="182"/>
    <n v="1198"/>
    <n v="242"/>
    <n v="1440"/>
    <x v="1"/>
    <n v="2616"/>
  </r>
  <r>
    <n v="7086361926"/>
    <d v="2016-04-30T00:00:00"/>
    <s v="Saturday"/>
    <x v="1"/>
    <n v="14560"/>
    <n v="9.4099998469999999"/>
    <n v="9.4099998469999999"/>
    <n v="0"/>
    <n v="3.119999886"/>
    <n v="1.039999962"/>
    <n v="5.2399997709999999"/>
    <n v="0"/>
    <n v="42"/>
    <n v="17"/>
    <n v="308"/>
    <n v="584"/>
    <n v="367"/>
    <n v="951"/>
    <x v="0"/>
    <n v="2995"/>
  </r>
  <r>
    <n v="7086361926"/>
    <d v="2016-05-01T00:00:00"/>
    <s v="Sunday"/>
    <x v="1"/>
    <n v="12390"/>
    <n v="8.0699996949999999"/>
    <n v="8.0699996949999999"/>
    <n v="0"/>
    <n v="2.2999999519999998"/>
    <n v="0.89999997600000003"/>
    <n v="4.8499999049999998"/>
    <n v="0"/>
    <n v="30"/>
    <n v="15"/>
    <n v="258"/>
    <n v="685"/>
    <n v="303"/>
    <n v="988"/>
    <x v="0"/>
    <n v="2730"/>
  </r>
  <r>
    <n v="7086361926"/>
    <d v="2016-05-02T00:00:00"/>
    <s v="Monday"/>
    <x v="0"/>
    <n v="10052"/>
    <n v="6.8099999430000002"/>
    <n v="6.8099999430000002"/>
    <n v="0"/>
    <n v="3.4800000190000002"/>
    <n v="0.66000002599999996"/>
    <n v="2.6600000860000002"/>
    <n v="0"/>
    <n v="66"/>
    <n v="26"/>
    <n v="139"/>
    <n v="737"/>
    <n v="231"/>
    <n v="968"/>
    <x v="0"/>
    <n v="2754"/>
  </r>
  <r>
    <n v="7086361926"/>
    <d v="2016-05-03T00:00:00"/>
    <s v="Tuesday"/>
    <x v="0"/>
    <n v="10288"/>
    <n v="6.7600002290000001"/>
    <n v="6.7600002290000001"/>
    <n v="0"/>
    <n v="2.7400000100000002"/>
    <n v="0.85000002399999997"/>
    <n v="3.1600000860000002"/>
    <n v="0"/>
    <n v="57"/>
    <n v="36"/>
    <n v="152"/>
    <n v="761"/>
    <n v="245"/>
    <n v="1006"/>
    <x v="0"/>
    <n v="2754"/>
  </r>
  <r>
    <n v="7086361926"/>
    <d v="2016-05-04T00:00:00"/>
    <s v="Wednesday"/>
    <x v="0"/>
    <n v="10988"/>
    <n v="8.3100004199999997"/>
    <n v="8.3100004199999997"/>
    <n v="0"/>
    <n v="5.2800002099999999"/>
    <n v="0.119999997"/>
    <n v="2.9000000950000002"/>
    <n v="0"/>
    <n v="45"/>
    <n v="12"/>
    <n v="135"/>
    <n v="843"/>
    <n v="192"/>
    <n v="1035"/>
    <x v="0"/>
    <n v="2655"/>
  </r>
  <r>
    <n v="7086361926"/>
    <d v="2016-05-05T00:00:00"/>
    <s v="Thursday"/>
    <x v="0"/>
    <n v="8564"/>
    <n v="5.5999999049999998"/>
    <n v="5.5999999049999998"/>
    <n v="0"/>
    <n v="1.7799999710000001"/>
    <n v="0.829999983"/>
    <n v="2.9500000480000002"/>
    <n v="0"/>
    <n v="24"/>
    <n v="14"/>
    <n v="149"/>
    <n v="1253"/>
    <n v="187"/>
    <n v="1440"/>
    <x v="1"/>
    <n v="2386"/>
  </r>
  <r>
    <n v="7086361926"/>
    <d v="2016-05-06T00:00:00"/>
    <s v="Friday"/>
    <x v="0"/>
    <n v="12461"/>
    <n v="8.3800001139999996"/>
    <n v="8.3800001139999996"/>
    <n v="0"/>
    <n v="3.8199999330000001"/>
    <n v="1.4299999480000001"/>
    <n v="3.119999886"/>
    <n v="0"/>
    <n v="84"/>
    <n v="35"/>
    <n v="154"/>
    <n v="834"/>
    <n v="273"/>
    <n v="1107"/>
    <x v="0"/>
    <n v="2924"/>
  </r>
  <r>
    <n v="7086361926"/>
    <d v="2016-05-07T00:00:00"/>
    <s v="Saturday"/>
    <x v="1"/>
    <n v="12827"/>
    <n v="8.4799995419999998"/>
    <n v="8.4799995419999998"/>
    <n v="0"/>
    <n v="1.460000038"/>
    <n v="2.329999924"/>
    <n v="4.6799998279999997"/>
    <n v="0"/>
    <n v="20"/>
    <n v="42"/>
    <n v="209"/>
    <n v="621"/>
    <n v="271"/>
    <n v="892"/>
    <x v="0"/>
    <n v="2739"/>
  </r>
  <r>
    <n v="7086361926"/>
    <d v="2016-05-08T00:00:00"/>
    <s v="Sunday"/>
    <x v="1"/>
    <n v="10677"/>
    <n v="7.0999999049999998"/>
    <n v="7.0999999049999998"/>
    <n v="0"/>
    <n v="2.3099999430000002"/>
    <n v="1.5299999710000001"/>
    <n v="3.25"/>
    <n v="0"/>
    <n v="32"/>
    <n v="27"/>
    <n v="147"/>
    <n v="695"/>
    <n v="206"/>
    <n v="901"/>
    <x v="0"/>
    <n v="2534"/>
  </r>
  <r>
    <n v="7086361926"/>
    <d v="2016-05-09T00:00:00"/>
    <s v="Monday"/>
    <x v="0"/>
    <n v="13566"/>
    <n v="9.1099996569999995"/>
    <n v="9.1099996569999995"/>
    <n v="0"/>
    <n v="4.2600002290000001"/>
    <n v="1.710000038"/>
    <n v="3.119999886"/>
    <n v="0"/>
    <n v="67"/>
    <n v="50"/>
    <n v="171"/>
    <n v="743"/>
    <n v="288"/>
    <n v="1031"/>
    <x v="0"/>
    <n v="2960"/>
  </r>
  <r>
    <n v="7086361926"/>
    <d v="2016-05-10T00:00:00"/>
    <s v="Tuesday"/>
    <x v="0"/>
    <n v="14433"/>
    <n v="10.789999959999999"/>
    <n v="10.789999959999999"/>
    <n v="0"/>
    <n v="7.1100001339999999"/>
    <n v="1.2000000479999999"/>
    <n v="2.4500000480000002"/>
    <n v="0"/>
    <n v="72"/>
    <n v="23"/>
    <n v="106"/>
    <n v="1182"/>
    <n v="201"/>
    <n v="1383"/>
    <x v="0"/>
    <n v="2800"/>
  </r>
  <r>
    <n v="7086361926"/>
    <d v="2016-05-11T00:00:00"/>
    <s v="Wednesday"/>
    <x v="0"/>
    <n v="9572"/>
    <n v="6.5199999809999998"/>
    <n v="6.5199999809999998"/>
    <n v="0"/>
    <n v="2.8900001049999999"/>
    <n v="1.3899999860000001"/>
    <n v="2.2300000190000002"/>
    <n v="0"/>
    <n v="57"/>
    <n v="40"/>
    <n v="128"/>
    <n v="757"/>
    <n v="225"/>
    <n v="982"/>
    <x v="1"/>
    <n v="2735"/>
  </r>
  <r>
    <n v="8053475328"/>
    <d v="2016-04-02T00:00:00"/>
    <s v="Saturday"/>
    <x v="1"/>
    <n v="20188"/>
    <n v="15.619999890000001"/>
    <n v="15.619999890000001"/>
    <n v="0"/>
    <n v="12.06000042"/>
    <n v="0.85000002399999997"/>
    <n v="2.710000038"/>
    <n v="0"/>
    <n v="124"/>
    <n v="19"/>
    <n v="172"/>
    <n v="1125"/>
    <n v="315"/>
    <n v="1440"/>
    <x v="0"/>
    <n v="3377"/>
  </r>
  <r>
    <n v="8053475328"/>
    <d v="2016-04-03T00:00:00"/>
    <s v="Sunday"/>
    <x v="1"/>
    <n v="25701"/>
    <n v="20.13999939"/>
    <n v="20.13999939"/>
    <n v="0"/>
    <n v="16.81999969"/>
    <n v="1.6299999949999999"/>
    <n v="1.690000057"/>
    <n v="0"/>
    <n v="165"/>
    <n v="36"/>
    <n v="97"/>
    <n v="1142"/>
    <n v="298"/>
    <n v="1440"/>
    <x v="0"/>
    <n v="3697"/>
  </r>
  <r>
    <n v="8053475328"/>
    <d v="2016-04-04T00:00:00"/>
    <s v="Monday"/>
    <x v="0"/>
    <n v="17395"/>
    <n v="13.210000040000001"/>
    <n v="13.210000040000001"/>
    <n v="0"/>
    <n v="9.6700000760000009"/>
    <n v="0.18000000699999999"/>
    <n v="3.3499999049999998"/>
    <n v="0"/>
    <n v="100"/>
    <n v="4"/>
    <n v="213"/>
    <n v="1123"/>
    <n v="317"/>
    <n v="1440"/>
    <x v="0"/>
    <n v="3209"/>
  </r>
  <r>
    <n v="8053475328"/>
    <d v="2016-04-05T00:00:00"/>
    <s v="Tuesday"/>
    <x v="0"/>
    <n v="17167"/>
    <n v="13.40999985"/>
    <n v="13.40999985"/>
    <n v="0"/>
    <n v="9.9600000380000004"/>
    <n v="0.310000002"/>
    <n v="3.1400001049999999"/>
    <n v="0"/>
    <n v="98"/>
    <n v="8"/>
    <n v="184"/>
    <n v="1150"/>
    <n v="290"/>
    <n v="1440"/>
    <x v="0"/>
    <n v="3167"/>
  </r>
  <r>
    <n v="8053475328"/>
    <d v="2016-04-06T00:00:00"/>
    <s v="Wednesday"/>
    <x v="0"/>
    <n v="16435"/>
    <n v="12.420000079999999"/>
    <n v="12.420000079999999"/>
    <n v="0"/>
    <n v="8.9600000380000004"/>
    <n v="0.55000001200000004"/>
    <n v="2.9100000860000002"/>
    <n v="0"/>
    <n v="100"/>
    <n v="14"/>
    <n v="191"/>
    <n v="1135"/>
    <n v="305"/>
    <n v="1440"/>
    <x v="0"/>
    <n v="3122"/>
  </r>
  <r>
    <n v="8053475328"/>
    <d v="2016-04-07T00:00:00"/>
    <s v="Thursday"/>
    <x v="0"/>
    <n v="17078"/>
    <n v="13.19999981"/>
    <n v="13.19999981"/>
    <n v="0"/>
    <n v="9.9700002669999996"/>
    <n v="0.23999999499999999"/>
    <n v="2.9900000100000002"/>
    <n v="0"/>
    <n v="101"/>
    <n v="6"/>
    <n v="190"/>
    <n v="1143"/>
    <n v="297"/>
    <n v="1440"/>
    <x v="0"/>
    <n v="3176"/>
  </r>
  <r>
    <n v="8053475328"/>
    <d v="2016-04-08T00:00:00"/>
    <s v="Friday"/>
    <x v="0"/>
    <n v="11693"/>
    <n v="9.5399999619999996"/>
    <n v="9.5399999619999996"/>
    <n v="0"/>
    <n v="6.7699999809999998"/>
    <n v="0.25999999000000001"/>
    <n v="2.5"/>
    <n v="0"/>
    <n v="60"/>
    <n v="6"/>
    <n v="153"/>
    <n v="1221"/>
    <n v="219"/>
    <n v="1440"/>
    <x v="0"/>
    <n v="2790"/>
  </r>
  <r>
    <n v="8053475328"/>
    <d v="2016-04-09T00:00:00"/>
    <s v="Saturday"/>
    <x v="1"/>
    <n v="11159"/>
    <n v="9.1400003430000005"/>
    <n v="9.1400003430000005"/>
    <n v="0"/>
    <n v="6.6900000569999998"/>
    <n v="0.25"/>
    <n v="2.1900000569999998"/>
    <n v="0"/>
    <n v="59"/>
    <n v="6"/>
    <n v="120"/>
    <n v="1255"/>
    <n v="185"/>
    <n v="1440"/>
    <x v="0"/>
    <n v="2715"/>
  </r>
  <r>
    <n v="8053475328"/>
    <d v="2016-04-10T00:00:00"/>
    <s v="Sunday"/>
    <x v="1"/>
    <n v="10118"/>
    <n v="7.7300000190000002"/>
    <n v="7.7300000190000002"/>
    <n v="0"/>
    <n v="3.0499999519999998"/>
    <n v="0.80000001200000004"/>
    <n v="3.880000114"/>
    <n v="0"/>
    <n v="30"/>
    <n v="18"/>
    <n v="207"/>
    <n v="1185"/>
    <n v="255"/>
    <n v="1440"/>
    <x v="0"/>
    <n v="2684"/>
  </r>
  <r>
    <n v="8053475328"/>
    <d v="2016-04-11T00:00:00"/>
    <s v="Monday"/>
    <x v="0"/>
    <n v="16064"/>
    <n v="12.72000027"/>
    <n v="12.72000027"/>
    <n v="0"/>
    <n v="9.9799995419999998"/>
    <n v="0.36000001399999998"/>
    <n v="2.380000114"/>
    <n v="0"/>
    <n v="96"/>
    <n v="8"/>
    <n v="155"/>
    <n v="1181"/>
    <n v="259"/>
    <n v="1440"/>
    <x v="0"/>
    <n v="3097"/>
  </r>
  <r>
    <n v="8053475328"/>
    <d v="2016-04-12T00:00:00"/>
    <s v="Tuesday"/>
    <x v="0"/>
    <n v="290"/>
    <n v="0.209999993"/>
    <n v="0.209999993"/>
    <n v="0"/>
    <n v="0"/>
    <n v="0"/>
    <n v="0.209999993"/>
    <n v="0"/>
    <n v="0"/>
    <n v="0"/>
    <n v="16"/>
    <n v="599"/>
    <n v="16"/>
    <n v="615"/>
    <x v="2"/>
    <n v="791"/>
  </r>
  <r>
    <n v="8053475328"/>
    <d v="2016-04-13T00:00:00"/>
    <s v="Wednesday"/>
    <x v="0"/>
    <n v="16433"/>
    <n v="13.350000380000001"/>
    <n v="13.350000380000001"/>
    <n v="0"/>
    <n v="10.43000031"/>
    <n v="0.469999999"/>
    <n v="2.4500000480000002"/>
    <n v="0"/>
    <n v="95"/>
    <n v="12"/>
    <n v="156"/>
    <n v="1177"/>
    <n v="263"/>
    <n v="1440"/>
    <x v="0"/>
    <n v="3140"/>
  </r>
  <r>
    <n v="8053475328"/>
    <d v="2016-04-14T00:00:00"/>
    <s v="Thursday"/>
    <x v="0"/>
    <n v="20159"/>
    <n v="15.97000027"/>
    <n v="15.97000027"/>
    <n v="0"/>
    <n v="12.34000015"/>
    <n v="0.209999993"/>
    <n v="3.3599998950000001"/>
    <n v="0"/>
    <n v="119"/>
    <n v="5"/>
    <n v="193"/>
    <n v="1123"/>
    <n v="317"/>
    <n v="1440"/>
    <x v="0"/>
    <n v="3411"/>
  </r>
  <r>
    <n v="8053475328"/>
    <d v="2016-04-15T00:00:00"/>
    <s v="Friday"/>
    <x v="0"/>
    <n v="20669"/>
    <n v="16.239999770000001"/>
    <n v="16.239999770000001"/>
    <n v="0"/>
    <n v="13.260000229999999"/>
    <n v="0.38999998600000002"/>
    <n v="2.5899999139999998"/>
    <n v="0"/>
    <n v="132"/>
    <n v="8"/>
    <n v="158"/>
    <n v="1142"/>
    <n v="298"/>
    <n v="1440"/>
    <x v="0"/>
    <n v="3410"/>
  </r>
  <r>
    <n v="8053475328"/>
    <d v="2016-04-16T00:00:00"/>
    <s v="Saturday"/>
    <x v="1"/>
    <n v="14549"/>
    <n v="11.10999966"/>
    <n v="11.10999966"/>
    <n v="0"/>
    <n v="9.3599996569999995"/>
    <n v="0.27000001099999998"/>
    <n v="1.4900000099999999"/>
    <n v="0"/>
    <n v="96"/>
    <n v="6"/>
    <n v="83"/>
    <n v="1255"/>
    <n v="185"/>
    <n v="1440"/>
    <x v="0"/>
    <n v="2867"/>
  </r>
  <r>
    <n v="8053475328"/>
    <d v="2016-04-17T00:00:00"/>
    <s v="Sunday"/>
    <x v="1"/>
    <n v="18827"/>
    <n v="13.68999958"/>
    <n v="13.68999958"/>
    <n v="0"/>
    <n v="9.2399997710000008"/>
    <n v="0.80000001200000004"/>
    <n v="3.6400001049999999"/>
    <n v="0"/>
    <n v="111"/>
    <n v="21"/>
    <n v="195"/>
    <n v="1113"/>
    <n v="327"/>
    <n v="1440"/>
    <x v="0"/>
    <n v="3213"/>
  </r>
  <r>
    <n v="8053475328"/>
    <d v="2016-04-18T00:00:00"/>
    <s v="Monday"/>
    <x v="0"/>
    <n v="17076"/>
    <n v="12.65999985"/>
    <n v="12.65999985"/>
    <n v="0"/>
    <n v="9.0799999239999991"/>
    <n v="0.23000000400000001"/>
    <n v="3.3499999049999998"/>
    <n v="0"/>
    <n v="102"/>
    <n v="6"/>
    <n v="195"/>
    <n v="1137"/>
    <n v="303"/>
    <n v="1440"/>
    <x v="0"/>
    <n v="3133"/>
  </r>
  <r>
    <n v="8053475328"/>
    <d v="2016-04-19T00:00:00"/>
    <s v="Tuesday"/>
    <x v="0"/>
    <n v="15929"/>
    <n v="12.47999954"/>
    <n v="12.47999954"/>
    <n v="0"/>
    <n v="9.2200002669999996"/>
    <n v="0.310000002"/>
    <n v="2.9500000480000002"/>
    <n v="0"/>
    <n v="90"/>
    <n v="7"/>
    <n v="191"/>
    <n v="1152"/>
    <n v="288"/>
    <n v="1440"/>
    <x v="0"/>
    <n v="3114"/>
  </r>
  <r>
    <n v="8053475328"/>
    <d v="2016-04-20T00:00:00"/>
    <s v="Wednesday"/>
    <x v="0"/>
    <n v="15108"/>
    <n v="12.18999958"/>
    <n v="12.18999958"/>
    <n v="0"/>
    <n v="9.5799999239999991"/>
    <n v="0.23000000400000001"/>
    <n v="2.380000114"/>
    <n v="0"/>
    <n v="89"/>
    <n v="5"/>
    <n v="158"/>
    <n v="695"/>
    <n v="252"/>
    <n v="947"/>
    <x v="0"/>
    <n v="3043"/>
  </r>
  <r>
    <n v="8053475328"/>
    <d v="2016-04-21T00:00:00"/>
    <s v="Thursday"/>
    <x v="0"/>
    <n v="16057"/>
    <n v="12.510000229999999"/>
    <n v="12.510000229999999"/>
    <n v="0"/>
    <n v="9.6700000760000009"/>
    <n v="0.25"/>
    <n v="2.579999924"/>
    <n v="0"/>
    <n v="100"/>
    <n v="6"/>
    <n v="170"/>
    <n v="1164"/>
    <n v="276"/>
    <n v="1440"/>
    <x v="0"/>
    <n v="3103"/>
  </r>
  <r>
    <n v="8053475328"/>
    <d v="2016-04-22T00:00:00"/>
    <s v="Friday"/>
    <x v="0"/>
    <n v="10520"/>
    <n v="8.2899999619999996"/>
    <n v="8.2899999619999996"/>
    <n v="0"/>
    <n v="6.2600002290000001"/>
    <n v="0.15000000599999999"/>
    <n v="1.8799999949999999"/>
    <n v="0"/>
    <n v="60"/>
    <n v="3"/>
    <n v="117"/>
    <n v="1260"/>
    <n v="180"/>
    <n v="1440"/>
    <x v="0"/>
    <n v="2655"/>
  </r>
  <r>
    <n v="8053475328"/>
    <d v="2016-04-23T00:00:00"/>
    <s v="Saturday"/>
    <x v="1"/>
    <n v="22359"/>
    <n v="17.190000529999999"/>
    <n v="17.190000529999999"/>
    <n v="0"/>
    <n v="12.539999959999999"/>
    <n v="0.62999999500000003"/>
    <n v="4.0199999809999998"/>
    <n v="0"/>
    <n v="125"/>
    <n v="14"/>
    <n v="223"/>
    <n v="741"/>
    <n v="362"/>
    <n v="1103"/>
    <x v="0"/>
    <n v="3554"/>
  </r>
  <r>
    <n v="8053475328"/>
    <d v="2016-04-24T00:00:00"/>
    <s v="Sunday"/>
    <x v="1"/>
    <n v="22988"/>
    <n v="17.950000760000002"/>
    <n v="17.950000760000002"/>
    <n v="0"/>
    <n v="13.130000109999999"/>
    <n v="1.5499999520000001"/>
    <n v="3.2599999899999998"/>
    <n v="0"/>
    <n v="129"/>
    <n v="33"/>
    <n v="182"/>
    <n v="1096"/>
    <n v="344"/>
    <n v="1440"/>
    <x v="0"/>
    <n v="3577"/>
  </r>
  <r>
    <n v="8053475328"/>
    <d v="2016-04-25T00:00:00"/>
    <s v="Monday"/>
    <x v="0"/>
    <n v="20500"/>
    <n v="15.68999958"/>
    <n v="15.68999958"/>
    <n v="0"/>
    <n v="11.369999890000001"/>
    <n v="0.46000000800000002"/>
    <n v="3.8599998950000001"/>
    <n v="0"/>
    <n v="118"/>
    <n v="9"/>
    <n v="209"/>
    <n v="1104"/>
    <n v="336"/>
    <n v="1440"/>
    <x v="0"/>
    <n v="3403"/>
  </r>
  <r>
    <n v="8053475328"/>
    <d v="2016-04-26T00:00:00"/>
    <s v="Tuesday"/>
    <x v="0"/>
    <n v="12685"/>
    <n v="9.6199998860000004"/>
    <n v="9.6199998860000004"/>
    <n v="0"/>
    <n v="6.3099999430000002"/>
    <n v="0.20000000300000001"/>
    <n v="3.0999999049999998"/>
    <n v="0"/>
    <n v="68"/>
    <n v="5"/>
    <n v="185"/>
    <n v="1182"/>
    <n v="258"/>
    <n v="1440"/>
    <x v="0"/>
    <n v="2846"/>
  </r>
  <r>
    <n v="8053475328"/>
    <d v="2016-04-27T00:00:00"/>
    <s v="Wednesday"/>
    <x v="0"/>
    <n v="12422"/>
    <n v="9.8199996949999999"/>
    <n v="9.8199996949999999"/>
    <n v="0"/>
    <n v="6.4600000380000004"/>
    <n v="0.43000000700000002"/>
    <n v="2.9300000669999999"/>
    <n v="0"/>
    <n v="60"/>
    <n v="10"/>
    <n v="183"/>
    <n v="1187"/>
    <n v="253"/>
    <n v="1440"/>
    <x v="0"/>
    <n v="2852"/>
  </r>
  <r>
    <n v="8053475328"/>
    <d v="2016-04-28T00:00:00"/>
    <s v="Thursday"/>
    <x v="0"/>
    <n v="15447"/>
    <n v="12.399999619999999"/>
    <n v="12.399999619999999"/>
    <n v="0"/>
    <n v="9.6700000760000009"/>
    <n v="0.38999998600000002"/>
    <n v="2.3499999049999998"/>
    <n v="0"/>
    <n v="90"/>
    <n v="9"/>
    <n v="153"/>
    <n v="1188"/>
    <n v="252"/>
    <n v="1440"/>
    <x v="0"/>
    <n v="3062"/>
  </r>
  <r>
    <n v="8053475328"/>
    <d v="2016-04-29T00:00:00"/>
    <s v="Friday"/>
    <x v="0"/>
    <n v="12315"/>
    <n v="9.6499996190000008"/>
    <n v="9.6499996190000008"/>
    <n v="0"/>
    <n v="6.170000076"/>
    <n v="0.310000002"/>
    <n v="3.170000076"/>
    <n v="0"/>
    <n v="58"/>
    <n v="8"/>
    <n v="159"/>
    <n v="1215"/>
    <n v="225"/>
    <n v="1440"/>
    <x v="0"/>
    <n v="2794"/>
  </r>
  <r>
    <n v="8053475328"/>
    <d v="2016-04-30T00:00:00"/>
    <s v="Saturday"/>
    <x v="1"/>
    <n v="7135"/>
    <n v="5.5900001530000001"/>
    <n v="5.5900001530000001"/>
    <n v="0"/>
    <n v="2.9900000100000002"/>
    <n v="5.9999998999999998E-2"/>
    <n v="2.539999962"/>
    <n v="0"/>
    <n v="27"/>
    <n v="1"/>
    <n v="131"/>
    <n v="1281"/>
    <n v="159"/>
    <n v="1440"/>
    <x v="3"/>
    <n v="2408"/>
  </r>
  <r>
    <n v="8053475328"/>
    <d v="2016-05-01T00:00:00"/>
    <s v="Sunday"/>
    <x v="1"/>
    <n v="1170"/>
    <n v="0.85000002399999997"/>
    <n v="0.85000002399999997"/>
    <n v="0"/>
    <n v="0"/>
    <n v="0"/>
    <n v="0.85000002399999997"/>
    <n v="0"/>
    <n v="0"/>
    <n v="0"/>
    <n v="51"/>
    <n v="1389"/>
    <n v="51"/>
    <n v="1440"/>
    <x v="2"/>
    <n v="1886"/>
  </r>
  <r>
    <n v="8053475328"/>
    <d v="2016-05-02T00:00:00"/>
    <s v="Monday"/>
    <x v="0"/>
    <n v="1969"/>
    <n v="1.4299999480000001"/>
    <n v="1.4299999480000001"/>
    <n v="0"/>
    <n v="0"/>
    <n v="0"/>
    <n v="1.4299999480000001"/>
    <n v="0"/>
    <n v="0"/>
    <n v="0"/>
    <n v="95"/>
    <n v="1345"/>
    <n v="95"/>
    <n v="1440"/>
    <x v="2"/>
    <n v="1988"/>
  </r>
  <r>
    <n v="8053475328"/>
    <d v="2016-05-03T00:00:00"/>
    <s v="Tuesday"/>
    <x v="0"/>
    <n v="15484"/>
    <n v="11.899999619999999"/>
    <n v="11.899999619999999"/>
    <n v="0"/>
    <n v="8.3900003430000005"/>
    <n v="0.93000000699999996"/>
    <n v="2.5899999139999998"/>
    <n v="0"/>
    <n v="87"/>
    <n v="22"/>
    <n v="165"/>
    <n v="1166"/>
    <n v="274"/>
    <n v="1440"/>
    <x v="0"/>
    <n v="3023"/>
  </r>
  <r>
    <n v="8053475328"/>
    <d v="2016-05-04T00:00:00"/>
    <s v="Wednesday"/>
    <x v="0"/>
    <n v="14581"/>
    <n v="11.149999619999999"/>
    <n v="11.149999619999999"/>
    <n v="0"/>
    <n v="8.8199996949999999"/>
    <n v="0.40000000600000002"/>
    <n v="1.9099999670000001"/>
    <n v="0"/>
    <n v="89"/>
    <n v="8"/>
    <n v="123"/>
    <n v="1220"/>
    <n v="220"/>
    <n v="1440"/>
    <x v="0"/>
    <n v="2918"/>
  </r>
  <r>
    <n v="8053475328"/>
    <d v="2016-05-05T00:00:00"/>
    <s v="Thursday"/>
    <x v="0"/>
    <n v="14990"/>
    <n v="11.510000229999999"/>
    <n v="11.510000229999999"/>
    <n v="0"/>
    <n v="8.8500003809999992"/>
    <n v="0.44999998800000002"/>
    <n v="2.210000038"/>
    <n v="0"/>
    <n v="93"/>
    <n v="9"/>
    <n v="130"/>
    <n v="1208"/>
    <n v="232"/>
    <n v="1440"/>
    <x v="0"/>
    <n v="2950"/>
  </r>
  <r>
    <n v="8053475328"/>
    <d v="2016-05-06T00:00:00"/>
    <s v="Friday"/>
    <x v="0"/>
    <n v="13953"/>
    <n v="11"/>
    <n v="11"/>
    <n v="0"/>
    <n v="9.1000003809999992"/>
    <n v="0.689999998"/>
    <n v="1.210000038"/>
    <n v="0"/>
    <n v="90"/>
    <n v="15"/>
    <n v="90"/>
    <n v="1245"/>
    <n v="195"/>
    <n v="1440"/>
    <x v="0"/>
    <n v="2859"/>
  </r>
  <r>
    <n v="8053475328"/>
    <d v="2016-05-07T00:00:00"/>
    <s v="Saturday"/>
    <x v="1"/>
    <n v="19769"/>
    <n v="15.670000079999999"/>
    <n v="15.670000079999999"/>
    <n v="0"/>
    <n v="12.43999958"/>
    <n v="0.87999999500000003"/>
    <n v="2.3499999049999998"/>
    <n v="0"/>
    <n v="121"/>
    <n v="20"/>
    <n v="148"/>
    <n v="1076"/>
    <n v="289"/>
    <n v="1365"/>
    <x v="0"/>
    <n v="3331"/>
  </r>
  <r>
    <n v="8053475328"/>
    <d v="2016-05-08T00:00:00"/>
    <s v="Sunday"/>
    <x v="1"/>
    <n v="22026"/>
    <n v="17.649999619999999"/>
    <n v="17.649999619999999"/>
    <n v="0"/>
    <n v="13.399999619999999"/>
    <n v="0.58999997400000004"/>
    <n v="3.6600000860000002"/>
    <n v="0"/>
    <n v="125"/>
    <n v="14"/>
    <n v="228"/>
    <n v="1073"/>
    <n v="367"/>
    <n v="1440"/>
    <x v="0"/>
    <n v="3589"/>
  </r>
  <r>
    <n v="8053475328"/>
    <d v="2016-05-09T00:00:00"/>
    <s v="Monday"/>
    <x v="0"/>
    <n v="12465"/>
    <n v="9.3800001139999996"/>
    <n v="9.3800001139999996"/>
    <n v="0"/>
    <n v="6.1199998860000004"/>
    <n v="0.56999999300000004"/>
    <n v="2.6900000569999998"/>
    <n v="0"/>
    <n v="66"/>
    <n v="12"/>
    <n v="148"/>
    <n v="1214"/>
    <n v="226"/>
    <n v="1440"/>
    <x v="0"/>
    <n v="2765"/>
  </r>
  <r>
    <n v="8053475328"/>
    <d v="2016-05-10T00:00:00"/>
    <s v="Tuesday"/>
    <x v="0"/>
    <n v="14810"/>
    <n v="11.35999966"/>
    <n v="11.35999966"/>
    <n v="0"/>
    <n v="9.0900001530000001"/>
    <n v="0.41999998700000002"/>
    <n v="1.8500000240000001"/>
    <n v="0"/>
    <n v="96"/>
    <n v="10"/>
    <n v="115"/>
    <n v="1219"/>
    <n v="221"/>
    <n v="1440"/>
    <x v="0"/>
    <n v="2926"/>
  </r>
  <r>
    <n v="8053475328"/>
    <d v="2016-05-11T00:00:00"/>
    <s v="Wednesday"/>
    <x v="0"/>
    <n v="12209"/>
    <n v="9.3999996190000008"/>
    <n v="9.3999996190000008"/>
    <n v="0"/>
    <n v="6.079999924"/>
    <n v="0.280000001"/>
    <n v="3.039999962"/>
    <n v="0"/>
    <n v="60"/>
    <n v="7"/>
    <n v="184"/>
    <n v="1189"/>
    <n v="251"/>
    <n v="1440"/>
    <x v="0"/>
    <n v="2809"/>
  </r>
  <r>
    <n v="8053475328"/>
    <d v="2016-05-12T00:00:00"/>
    <s v="Thursday"/>
    <x v="0"/>
    <n v="4998"/>
    <n v="3.9100000860000002"/>
    <n v="3.9100000860000002"/>
    <n v="0"/>
    <n v="2.9500000480000002"/>
    <n v="0.20000000300000001"/>
    <n v="0.75999998999999996"/>
    <n v="0"/>
    <n v="28"/>
    <n v="4"/>
    <n v="39"/>
    <n v="839"/>
    <n v="71"/>
    <n v="910"/>
    <x v="2"/>
    <n v="1505"/>
  </r>
  <r>
    <n v="8253242879"/>
    <d v="2016-04-06T00:00:00"/>
    <s v="Wednesday"/>
    <x v="0"/>
    <n v="1931"/>
    <n v="1.2799999710000001"/>
    <n v="1.2799999710000001"/>
    <n v="0"/>
    <n v="0"/>
    <n v="0"/>
    <n v="1.2799999710000001"/>
    <n v="0"/>
    <n v="0"/>
    <n v="0"/>
    <n v="94"/>
    <n v="1346"/>
    <n v="94"/>
    <n v="1440"/>
    <x v="2"/>
    <n v="1607"/>
  </r>
  <r>
    <n v="8253242879"/>
    <d v="2016-04-07T00:00:00"/>
    <s v="Thursday"/>
    <x v="0"/>
    <n v="5181"/>
    <n v="3.420000076"/>
    <n v="3.420000076"/>
    <n v="0"/>
    <n v="1"/>
    <n v="0.91000002599999996"/>
    <n v="1.5099999900000001"/>
    <n v="0.01"/>
    <n v="15"/>
    <n v="15"/>
    <n v="107"/>
    <n v="1303"/>
    <n v="137"/>
    <n v="1440"/>
    <x v="3"/>
    <n v="1776"/>
  </r>
  <r>
    <n v="8253242879"/>
    <d v="2016-04-08T00:00:00"/>
    <s v="Friday"/>
    <x v="0"/>
    <n v="12026"/>
    <n v="9.1499996190000008"/>
    <n v="9.1499996190000008"/>
    <n v="0"/>
    <n v="5.6999998090000004"/>
    <n v="0.93000000699999996"/>
    <n v="2.5099999899999998"/>
    <n v="0"/>
    <n v="47"/>
    <n v="13"/>
    <n v="150"/>
    <n v="1230"/>
    <n v="210"/>
    <n v="1440"/>
    <x v="0"/>
    <n v="2162"/>
  </r>
  <r>
    <n v="8253242879"/>
    <d v="2016-04-09T00:00:00"/>
    <s v="Saturday"/>
    <x v="1"/>
    <n v="5360"/>
    <n v="3.539999962"/>
    <n v="3.539999962"/>
    <n v="0"/>
    <n v="0.540000021"/>
    <n v="1.5499999520000001"/>
    <n v="1.460000038"/>
    <n v="0"/>
    <n v="8"/>
    <n v="28"/>
    <n v="148"/>
    <n v="1256"/>
    <n v="184"/>
    <n v="1440"/>
    <x v="3"/>
    <n v="1832"/>
  </r>
  <r>
    <n v="8253242879"/>
    <d v="2016-04-10T00:00:00"/>
    <s v="Sunday"/>
    <x v="1"/>
    <n v="2545"/>
    <n v="1.6799999480000001"/>
    <n v="1.6799999480000001"/>
    <n v="0"/>
    <n v="0"/>
    <n v="0"/>
    <n v="1.6699999569999999"/>
    <n v="0.02"/>
    <n v="0"/>
    <n v="0"/>
    <n v="126"/>
    <n v="1314"/>
    <n v="126"/>
    <n v="1440"/>
    <x v="2"/>
    <n v="1657"/>
  </r>
  <r>
    <n v="8253242879"/>
    <d v="2016-04-11T00:00:00"/>
    <s v="Monday"/>
    <x v="0"/>
    <n v="1636"/>
    <n v="1.0800000430000001"/>
    <n v="1.0800000430000001"/>
    <n v="0"/>
    <n v="0"/>
    <n v="0"/>
    <n v="1.0800000430000001"/>
    <n v="0"/>
    <n v="0"/>
    <n v="0"/>
    <n v="86"/>
    <n v="1139"/>
    <n v="86"/>
    <n v="1225"/>
    <x v="2"/>
    <n v="1377"/>
  </r>
  <r>
    <n v="8253242879"/>
    <d v="2016-04-13T00:00:00"/>
    <s v="Wednesday"/>
    <x v="0"/>
    <n v="8053"/>
    <n v="6.0999999049999998"/>
    <n v="6.0999999049999998"/>
    <n v="0"/>
    <n v="4.170000076"/>
    <n v="0.62999999500000003"/>
    <n v="1.309999943"/>
    <n v="0"/>
    <n v="35"/>
    <n v="11"/>
    <n v="96"/>
    <n v="1298"/>
    <n v="142"/>
    <n v="1440"/>
    <x v="1"/>
    <n v="1935"/>
  </r>
  <r>
    <n v="8253242879"/>
    <d v="2016-04-14T00:00:00"/>
    <s v="Thursday"/>
    <x v="0"/>
    <n v="5234"/>
    <n v="3.460000038"/>
    <n v="3.460000038"/>
    <n v="0"/>
    <n v="1.9299999480000001"/>
    <n v="0.99000001000000004"/>
    <n v="0.540000021"/>
    <n v="0"/>
    <n v="29"/>
    <n v="16"/>
    <n v="33"/>
    <n v="1362"/>
    <n v="78"/>
    <n v="1440"/>
    <x v="3"/>
    <n v="1705"/>
  </r>
  <r>
    <n v="8253242879"/>
    <d v="2016-04-15T00:00:00"/>
    <s v="Friday"/>
    <x v="0"/>
    <n v="2672"/>
    <n v="1.769999981"/>
    <n v="1.769999981"/>
    <n v="0"/>
    <n v="0"/>
    <n v="0"/>
    <n v="1.7599999900000001"/>
    <n v="0"/>
    <n v="0"/>
    <n v="0"/>
    <n v="105"/>
    <n v="1335"/>
    <n v="105"/>
    <n v="1440"/>
    <x v="2"/>
    <n v="1632"/>
  </r>
  <r>
    <n v="8253242879"/>
    <d v="2016-04-16T00:00:00"/>
    <s v="Saturday"/>
    <x v="1"/>
    <n v="9256"/>
    <n v="6.1399998660000001"/>
    <n v="6.1399998660000001"/>
    <n v="0"/>
    <n v="0.43000000700000002"/>
    <n v="3.2699999809999998"/>
    <n v="2.4500000480000002"/>
    <n v="0"/>
    <n v="6"/>
    <n v="51"/>
    <n v="115"/>
    <n v="1268"/>
    <n v="172"/>
    <n v="1440"/>
    <x v="1"/>
    <n v="1880"/>
  </r>
  <r>
    <n v="8253242879"/>
    <d v="2016-04-17T00:00:00"/>
    <s v="Sunday"/>
    <x v="1"/>
    <n v="10204"/>
    <n v="7.9099998469999999"/>
    <n v="7.9099998469999999"/>
    <n v="0"/>
    <n v="5.4299998279999997"/>
    <n v="0.15000000599999999"/>
    <n v="2.329999924"/>
    <n v="0"/>
    <n v="41"/>
    <n v="5"/>
    <n v="157"/>
    <n v="1237"/>
    <n v="203"/>
    <n v="1440"/>
    <x v="0"/>
    <n v="2112"/>
  </r>
  <r>
    <n v="8253242879"/>
    <d v="2016-04-18T00:00:00"/>
    <s v="Monday"/>
    <x v="0"/>
    <n v="5151"/>
    <n v="3.4800000190000002"/>
    <n v="3.4800000190000002"/>
    <n v="0"/>
    <n v="1.039999962"/>
    <n v="0.62999999500000003"/>
    <n v="1.7999999520000001"/>
    <n v="0"/>
    <n v="16"/>
    <n v="16"/>
    <n v="130"/>
    <n v="1278"/>
    <n v="162"/>
    <n v="1440"/>
    <x v="3"/>
    <n v="1829"/>
  </r>
  <r>
    <n v="8253242879"/>
    <d v="2016-04-19T00:00:00"/>
    <s v="Tuesday"/>
    <x v="0"/>
    <n v="4212"/>
    <n v="2.7799999710000001"/>
    <n v="2.7799999710000001"/>
    <n v="0"/>
    <n v="0"/>
    <n v="0"/>
    <n v="2.7799999710000001"/>
    <n v="0"/>
    <n v="0"/>
    <n v="0"/>
    <n v="164"/>
    <n v="1276"/>
    <n v="164"/>
    <n v="1440"/>
    <x v="2"/>
    <n v="1763"/>
  </r>
  <r>
    <n v="8253242879"/>
    <d v="2016-04-20T00:00:00"/>
    <s v="Wednesday"/>
    <x v="0"/>
    <n v="6466"/>
    <n v="4.2699999809999998"/>
    <n v="4.2699999809999998"/>
    <n v="0"/>
    <n v="0.33000001299999998"/>
    <n v="0.81999999300000004"/>
    <n v="3.1099998950000001"/>
    <n v="0.01"/>
    <n v="5"/>
    <n v="18"/>
    <n v="216"/>
    <n v="1201"/>
    <n v="239"/>
    <n v="1440"/>
    <x v="3"/>
    <n v="1931"/>
  </r>
  <r>
    <n v="8253242879"/>
    <d v="2016-04-21T00:00:00"/>
    <s v="Thursday"/>
    <x v="0"/>
    <n v="11268"/>
    <n v="8.5600004199999997"/>
    <n v="8.5600004199999997"/>
    <n v="0"/>
    <n v="5.8800001139999996"/>
    <n v="0.93000000699999996"/>
    <n v="1.75"/>
    <n v="0"/>
    <n v="49"/>
    <n v="20"/>
    <n v="172"/>
    <n v="1199"/>
    <n v="241"/>
    <n v="1440"/>
    <x v="0"/>
    <n v="2218"/>
  </r>
  <r>
    <n v="8253242879"/>
    <d v="2016-04-22T00:00:00"/>
    <s v="Friday"/>
    <x v="0"/>
    <n v="2824"/>
    <n v="1.8700000050000001"/>
    <n v="1.8700000050000001"/>
    <n v="0"/>
    <n v="0"/>
    <n v="0"/>
    <n v="1.8700000050000001"/>
    <n v="0"/>
    <n v="0"/>
    <n v="0"/>
    <n v="120"/>
    <n v="1320"/>
    <n v="120"/>
    <n v="1440"/>
    <x v="2"/>
    <n v="1651"/>
  </r>
  <r>
    <n v="8253242879"/>
    <d v="2016-04-23T00:00:00"/>
    <s v="Saturday"/>
    <x v="1"/>
    <n v="9282"/>
    <n v="6.2600002290000001"/>
    <n v="6.2600002290000001"/>
    <n v="0"/>
    <n v="2.0899999139999998"/>
    <n v="1.039999962"/>
    <n v="3.130000114"/>
    <n v="0"/>
    <n v="30"/>
    <n v="26"/>
    <n v="191"/>
    <n v="1193"/>
    <n v="247"/>
    <n v="1440"/>
    <x v="1"/>
    <n v="2132"/>
  </r>
  <r>
    <n v="8253242879"/>
    <d v="2016-04-24T00:00:00"/>
    <s v="Sunday"/>
    <x v="1"/>
    <n v="8905"/>
    <n v="7.1300001139999996"/>
    <n v="7.1300001139999996"/>
    <n v="0"/>
    <n v="5.5999999049999998"/>
    <n v="0.189999998"/>
    <n v="1.3400000329999999"/>
    <n v="0"/>
    <n v="41"/>
    <n v="4"/>
    <n v="82"/>
    <n v="1313"/>
    <n v="127"/>
    <n v="1440"/>
    <x v="1"/>
    <n v="1976"/>
  </r>
  <r>
    <n v="8253242879"/>
    <d v="2016-04-25T00:00:00"/>
    <s v="Monday"/>
    <x v="0"/>
    <n v="6829"/>
    <n v="4.5100002290000001"/>
    <n v="4.5100002290000001"/>
    <n v="0"/>
    <n v="0.36000001399999998"/>
    <n v="2.3900001049999999"/>
    <n v="1.769999981"/>
    <n v="0"/>
    <n v="7"/>
    <n v="54"/>
    <n v="118"/>
    <n v="1261"/>
    <n v="179"/>
    <n v="1440"/>
    <x v="3"/>
    <n v="1909"/>
  </r>
  <r>
    <n v="8253242879"/>
    <d v="2016-04-26T00:00:00"/>
    <s v="Tuesday"/>
    <x v="0"/>
    <n v="4562"/>
    <n v="3.039999962"/>
    <n v="3.039999962"/>
    <n v="0"/>
    <n v="1.1799999480000001"/>
    <n v="0.49000000999999999"/>
    <n v="1.3700000050000001"/>
    <n v="0"/>
    <n v="19"/>
    <n v="14"/>
    <n v="108"/>
    <n v="1299"/>
    <n v="141"/>
    <n v="1440"/>
    <x v="2"/>
    <n v="1813"/>
  </r>
  <r>
    <n v="8253242879"/>
    <d v="2016-04-27T00:00:00"/>
    <s v="Wednesday"/>
    <x v="0"/>
    <n v="10232"/>
    <n v="8.1800003050000001"/>
    <n v="8.1800003050000001"/>
    <n v="0"/>
    <n v="6.2399997709999999"/>
    <n v="0.23000000400000001"/>
    <n v="1.7000000479999999"/>
    <n v="0"/>
    <n v="45"/>
    <n v="5"/>
    <n v="104"/>
    <n v="1286"/>
    <n v="154"/>
    <n v="1440"/>
    <x v="0"/>
    <n v="2008"/>
  </r>
  <r>
    <n v="8253242879"/>
    <d v="2016-04-28T00:00:00"/>
    <s v="Thursday"/>
    <x v="0"/>
    <n v="2718"/>
    <n v="1.7999999520000001"/>
    <n v="1.7999999520000001"/>
    <n v="0"/>
    <n v="0.670000017"/>
    <n v="0.77999997099999996"/>
    <n v="0.34000000400000002"/>
    <n v="0"/>
    <n v="11"/>
    <n v="16"/>
    <n v="20"/>
    <n v="1393"/>
    <n v="47"/>
    <n v="1440"/>
    <x v="2"/>
    <n v="1580"/>
  </r>
  <r>
    <n v="8253242879"/>
    <d v="2016-04-29T00:00:00"/>
    <s v="Friday"/>
    <x v="0"/>
    <n v="6260"/>
    <n v="4.2600002290000001"/>
    <n v="4.2600002290000001"/>
    <n v="0"/>
    <n v="1.289999962"/>
    <n v="0.540000021"/>
    <n v="2.4000000950000002"/>
    <n v="0"/>
    <n v="16"/>
    <n v="14"/>
    <n v="136"/>
    <n v="1257"/>
    <n v="166"/>
    <n v="1423"/>
    <x v="3"/>
    <n v="1854"/>
  </r>
  <r>
    <n v="8378563200"/>
    <d v="2016-04-01T00:00:00"/>
    <s v="Friday"/>
    <x v="0"/>
    <n v="14179"/>
    <n v="11.239999770000001"/>
    <n v="11.239999770000001"/>
    <n v="0"/>
    <n v="6.2300000190000002"/>
    <n v="1.059999943"/>
    <n v="3.960000038"/>
    <n v="0"/>
    <n v="73"/>
    <n v="21"/>
    <n v="195"/>
    <n v="719"/>
    <n v="289"/>
    <n v="1008"/>
    <x v="0"/>
    <n v="3669"/>
  </r>
  <r>
    <n v="8378563200"/>
    <d v="2016-04-02T00:00:00"/>
    <s v="Saturday"/>
    <x v="1"/>
    <n v="3358"/>
    <n v="2.6600000860000002"/>
    <n v="2.6600000860000002"/>
    <n v="0"/>
    <n v="0"/>
    <n v="0"/>
    <n v="2.6600000860000002"/>
    <n v="0"/>
    <n v="0"/>
    <n v="0"/>
    <n v="144"/>
    <n v="657"/>
    <n v="144"/>
    <n v="801"/>
    <x v="2"/>
    <n v="2702"/>
  </r>
  <r>
    <n v="8378563200"/>
    <d v="2016-04-03T00:00:00"/>
    <s v="Sunday"/>
    <x v="1"/>
    <n v="9152"/>
    <n v="7.2600002290000001"/>
    <n v="7.2600002290000001"/>
    <n v="0"/>
    <n v="1.9900000099999999"/>
    <n v="0.81999999300000004"/>
    <n v="4.4499998090000004"/>
    <n v="0"/>
    <n v="25"/>
    <n v="13"/>
    <n v="243"/>
    <n v="600"/>
    <n v="281"/>
    <n v="881"/>
    <x v="1"/>
    <n v="3304"/>
  </r>
  <r>
    <n v="8378563200"/>
    <d v="2016-04-04T00:00:00"/>
    <s v="Monday"/>
    <x v="0"/>
    <n v="13935"/>
    <n v="11.05000019"/>
    <n v="11.05000019"/>
    <n v="2.0921471120000001"/>
    <n v="4.0900001530000001"/>
    <n v="0.790000021"/>
    <n v="6.170000076"/>
    <n v="0"/>
    <n v="105"/>
    <n v="16"/>
    <n v="220"/>
    <n v="658"/>
    <n v="341"/>
    <n v="999"/>
    <x v="0"/>
    <n v="4234"/>
  </r>
  <r>
    <n v="8378563200"/>
    <d v="2016-04-05T00:00:00"/>
    <s v="Tuesday"/>
    <x v="0"/>
    <n v="12846"/>
    <n v="10.18999958"/>
    <n v="10.18999958"/>
    <n v="2.2530810830000001"/>
    <n v="5"/>
    <n v="0.75"/>
    <n v="4.4400000569999998"/>
    <n v="0"/>
    <n v="113"/>
    <n v="15"/>
    <n v="189"/>
    <n v="686"/>
    <n v="317"/>
    <n v="1003"/>
    <x v="0"/>
    <n v="4128"/>
  </r>
  <r>
    <n v="8378563200"/>
    <d v="2016-04-06T00:00:00"/>
    <s v="Wednesday"/>
    <x v="0"/>
    <n v="9124"/>
    <n v="7.2399997709999999"/>
    <n v="7.2399997709999999"/>
    <n v="2.0921471120000001"/>
    <n v="0"/>
    <n v="0.25"/>
    <n v="6.9899997709999999"/>
    <n v="0"/>
    <n v="55"/>
    <n v="6"/>
    <n v="230"/>
    <n v="728"/>
    <n v="291"/>
    <n v="1019"/>
    <x v="1"/>
    <n v="3798"/>
  </r>
  <r>
    <n v="8378563200"/>
    <d v="2016-04-07T00:00:00"/>
    <s v="Thursday"/>
    <x v="0"/>
    <n v="9725"/>
    <n v="7.7100000380000004"/>
    <n v="7.7100000380000004"/>
    <n v="2.2530810830000001"/>
    <n v="2.4100000860000002"/>
    <n v="0.52999997099999996"/>
    <n v="4.7699999809999998"/>
    <n v="0"/>
    <n v="83"/>
    <n v="11"/>
    <n v="181"/>
    <n v="670"/>
    <n v="275"/>
    <n v="945"/>
    <x v="1"/>
    <n v="3839"/>
  </r>
  <r>
    <n v="8378563200"/>
    <d v="2016-04-08T00:00:00"/>
    <s v="Friday"/>
    <x v="0"/>
    <n v="8350"/>
    <n v="6.6199998860000004"/>
    <n v="6.6199998860000004"/>
    <n v="2.0921471120000001"/>
    <n v="1.4900000099999999"/>
    <n v="0.52999997099999996"/>
    <n v="4.6100001339999999"/>
    <n v="0"/>
    <n v="72"/>
    <n v="10"/>
    <n v="167"/>
    <n v="868"/>
    <n v="249"/>
    <n v="1117"/>
    <x v="1"/>
    <n v="3713"/>
  </r>
  <r>
    <n v="8378563200"/>
    <d v="2016-04-09T00:00:00"/>
    <s v="Saturday"/>
    <x v="1"/>
    <n v="2240"/>
    <n v="1.7799999710000001"/>
    <n v="1.7799999710000001"/>
    <n v="0"/>
    <n v="0"/>
    <n v="0"/>
    <n v="1.7799999710000001"/>
    <n v="0"/>
    <n v="0"/>
    <n v="0"/>
    <n v="110"/>
    <n v="843"/>
    <n v="110"/>
    <n v="953"/>
    <x v="2"/>
    <n v="2606"/>
  </r>
  <r>
    <n v="8378563200"/>
    <d v="2016-04-10T00:00:00"/>
    <s v="Sunday"/>
    <x v="1"/>
    <n v="2631"/>
    <n v="2.0899999139999998"/>
    <n v="2.0899999139999998"/>
    <n v="0"/>
    <n v="0"/>
    <n v="0"/>
    <n v="2.0899999139999998"/>
    <n v="0"/>
    <n v="0"/>
    <n v="0"/>
    <n v="117"/>
    <n v="727"/>
    <n v="117"/>
    <n v="844"/>
    <x v="2"/>
    <n v="2624"/>
  </r>
  <r>
    <n v="8378563200"/>
    <d v="2016-04-11T00:00:00"/>
    <s v="Monday"/>
    <x v="0"/>
    <n v="8837"/>
    <n v="7.0100002290000001"/>
    <n v="7.0100002290000001"/>
    <n v="2.0921471120000001"/>
    <n v="1.539999962"/>
    <n v="0.87999999500000003"/>
    <n v="4.5900001530000001"/>
    <n v="0"/>
    <n v="74"/>
    <n v="17"/>
    <n v="182"/>
    <n v="811"/>
    <n v="273"/>
    <n v="1084"/>
    <x v="1"/>
    <n v="3775"/>
  </r>
  <r>
    <n v="8378563200"/>
    <d v="2016-04-13T00:00:00"/>
    <s v="Wednesday"/>
    <x v="0"/>
    <n v="12386"/>
    <n v="9.8199996949999999"/>
    <n v="9.8199996949999999"/>
    <n v="2.0921471120000001"/>
    <n v="4.9600000380000004"/>
    <n v="0.64999997600000003"/>
    <n v="4.2100000380000004"/>
    <n v="0"/>
    <n v="116"/>
    <n v="14"/>
    <n v="169"/>
    <n v="680"/>
    <n v="299"/>
    <n v="979"/>
    <x v="0"/>
    <n v="4079"/>
  </r>
  <r>
    <n v="8378563200"/>
    <d v="2016-04-14T00:00:00"/>
    <s v="Thursday"/>
    <x v="0"/>
    <n v="13318"/>
    <n v="10.56000042"/>
    <n v="10.56000042"/>
    <n v="2.2530810830000001"/>
    <n v="5.6199998860000004"/>
    <n v="1.0299999710000001"/>
    <n v="3.9100000860000002"/>
    <n v="0"/>
    <n v="123"/>
    <n v="21"/>
    <n v="174"/>
    <n v="699"/>
    <n v="318"/>
    <n v="1017"/>
    <x v="0"/>
    <n v="4163"/>
  </r>
  <r>
    <n v="8378563200"/>
    <d v="2016-04-15T00:00:00"/>
    <s v="Friday"/>
    <x v="0"/>
    <n v="14461"/>
    <n v="11.47000027"/>
    <n v="11.47000027"/>
    <n v="0"/>
    <n v="4.9099998469999999"/>
    <n v="1.1499999759999999"/>
    <n v="5.4099998469999999"/>
    <n v="0"/>
    <n v="60"/>
    <n v="23"/>
    <n v="190"/>
    <n v="729"/>
    <n v="273"/>
    <n v="1002"/>
    <x v="0"/>
    <n v="3666"/>
  </r>
  <r>
    <n v="8378563200"/>
    <d v="2016-04-16T00:00:00"/>
    <s v="Saturday"/>
    <x v="1"/>
    <n v="11207"/>
    <n v="8.8900003430000005"/>
    <n v="8.8900003430000005"/>
    <n v="0"/>
    <n v="5.3699998860000004"/>
    <n v="1.0700000519999999"/>
    <n v="2.4400000569999998"/>
    <n v="0"/>
    <n v="64"/>
    <n v="21"/>
    <n v="142"/>
    <n v="563"/>
    <n v="227"/>
    <n v="790"/>
    <x v="0"/>
    <n v="3363"/>
  </r>
  <r>
    <n v="8378563200"/>
    <d v="2016-04-17T00:00:00"/>
    <s v="Sunday"/>
    <x v="1"/>
    <n v="2132"/>
    <n v="1.690000057"/>
    <n v="1.690000057"/>
    <n v="0"/>
    <n v="0"/>
    <n v="0"/>
    <n v="1.690000057"/>
    <n v="0"/>
    <n v="0"/>
    <n v="0"/>
    <n v="93"/>
    <n v="599"/>
    <n v="93"/>
    <n v="692"/>
    <x v="2"/>
    <n v="2572"/>
  </r>
  <r>
    <n v="8378563200"/>
    <d v="2016-04-18T00:00:00"/>
    <s v="Monday"/>
    <x v="0"/>
    <n v="13630"/>
    <n v="10.81000042"/>
    <n v="10.81000042"/>
    <n v="2.0921471120000001"/>
    <n v="5.0500001909999996"/>
    <n v="0.560000002"/>
    <n v="5.1999998090000004"/>
    <n v="0"/>
    <n v="117"/>
    <n v="10"/>
    <n v="174"/>
    <n v="720"/>
    <n v="301"/>
    <n v="1021"/>
    <x v="0"/>
    <n v="4157"/>
  </r>
  <r>
    <n v="8378563200"/>
    <d v="2016-04-19T00:00:00"/>
    <s v="Tuesday"/>
    <x v="0"/>
    <n v="13070"/>
    <n v="10.35999966"/>
    <n v="10.35999966"/>
    <n v="2.2530810830000001"/>
    <n v="5.3000001909999996"/>
    <n v="0.87999999500000003"/>
    <n v="4.1799998279999997"/>
    <n v="0"/>
    <n v="120"/>
    <n v="19"/>
    <n v="154"/>
    <n v="737"/>
    <n v="293"/>
    <n v="1030"/>
    <x v="0"/>
    <n v="4092"/>
  </r>
  <r>
    <n v="8378563200"/>
    <d v="2016-04-20T00:00:00"/>
    <s v="Wednesday"/>
    <x v="0"/>
    <n v="9388"/>
    <n v="7.4400000569999998"/>
    <n v="7.4400000569999998"/>
    <n v="2.0921471120000001"/>
    <n v="2.2300000190000002"/>
    <n v="0.439999998"/>
    <n v="4.7800002099999999"/>
    <n v="0"/>
    <n v="82"/>
    <n v="8"/>
    <n v="169"/>
    <n v="763"/>
    <n v="259"/>
    <n v="1022"/>
    <x v="1"/>
    <n v="3787"/>
  </r>
  <r>
    <n v="8378563200"/>
    <d v="2016-04-21T00:00:00"/>
    <s v="Thursday"/>
    <x v="0"/>
    <n v="15148"/>
    <n v="12.010000229999999"/>
    <n v="12.010000229999999"/>
    <n v="2.2530810830000001"/>
    <n v="6.9000000950000002"/>
    <n v="0.81999999300000004"/>
    <n v="4.2899999619999996"/>
    <n v="0"/>
    <n v="137"/>
    <n v="16"/>
    <n v="145"/>
    <n v="677"/>
    <n v="298"/>
    <n v="975"/>
    <x v="0"/>
    <n v="4236"/>
  </r>
  <r>
    <n v="8378563200"/>
    <d v="2016-04-22T00:00:00"/>
    <s v="Friday"/>
    <x v="0"/>
    <n v="12200"/>
    <n v="9.6700000760000009"/>
    <n v="9.6700000760000009"/>
    <n v="2.0921471120000001"/>
    <n v="4.9099998469999999"/>
    <n v="0.58999997400000004"/>
    <n v="4.1799998279999997"/>
    <n v="0"/>
    <n v="113"/>
    <n v="12"/>
    <n v="159"/>
    <n v="769"/>
    <n v="284"/>
    <n v="1053"/>
    <x v="0"/>
    <n v="4044"/>
  </r>
  <r>
    <n v="8378563200"/>
    <d v="2016-04-23T00:00:00"/>
    <s v="Saturday"/>
    <x v="1"/>
    <n v="5709"/>
    <n v="4.5300002099999999"/>
    <n v="4.5300002099999999"/>
    <n v="0"/>
    <n v="1.519999981"/>
    <n v="0.519999981"/>
    <n v="2.4800000190000002"/>
    <n v="0"/>
    <n v="19"/>
    <n v="10"/>
    <n v="136"/>
    <n v="740"/>
    <n v="165"/>
    <n v="905"/>
    <x v="3"/>
    <n v="2908"/>
  </r>
  <r>
    <n v="8378563200"/>
    <d v="2016-04-24T00:00:00"/>
    <s v="Sunday"/>
    <x v="1"/>
    <n v="3703"/>
    <n v="2.9400000569999998"/>
    <n v="2.9400000569999998"/>
    <n v="0"/>
    <n v="0"/>
    <n v="0"/>
    <n v="2.9400000569999998"/>
    <n v="0"/>
    <n v="0"/>
    <n v="0"/>
    <n v="135"/>
    <n v="734"/>
    <n v="135"/>
    <n v="869"/>
    <x v="2"/>
    <n v="2741"/>
  </r>
  <r>
    <n v="8378563200"/>
    <d v="2016-04-25T00:00:00"/>
    <s v="Monday"/>
    <x v="0"/>
    <n v="12405"/>
    <n v="9.8400001530000001"/>
    <n v="9.8400001530000001"/>
    <n v="2.0921471120000001"/>
    <n v="5.0500001909999996"/>
    <n v="0.87000000499999997"/>
    <n v="3.920000076"/>
    <n v="0"/>
    <n v="117"/>
    <n v="16"/>
    <n v="141"/>
    <n v="692"/>
    <n v="274"/>
    <n v="966"/>
    <x v="0"/>
    <n v="4005"/>
  </r>
  <r>
    <n v="8378563200"/>
    <d v="2016-04-26T00:00:00"/>
    <s v="Tuesday"/>
    <x v="0"/>
    <n v="16208"/>
    <n v="12.850000380000001"/>
    <n v="12.850000380000001"/>
    <n v="0"/>
    <n v="7.5100002290000001"/>
    <n v="0.920000017"/>
    <n v="4.420000076"/>
    <n v="0"/>
    <n v="90"/>
    <n v="18"/>
    <n v="161"/>
    <n v="593"/>
    <n v="269"/>
    <n v="862"/>
    <x v="0"/>
    <n v="3763"/>
  </r>
  <r>
    <n v="8378563200"/>
    <d v="2016-04-27T00:00:00"/>
    <s v="Wednesday"/>
    <x v="0"/>
    <n v="7359"/>
    <n v="5.8400001530000001"/>
    <n v="5.8400001530000001"/>
    <n v="0"/>
    <n v="0.33000001299999998"/>
    <n v="0.18000000699999999"/>
    <n v="5.329999924"/>
    <n v="0"/>
    <n v="4"/>
    <n v="4"/>
    <n v="192"/>
    <n v="676"/>
    <n v="200"/>
    <n v="876"/>
    <x v="3"/>
    <n v="3061"/>
  </r>
  <r>
    <n v="8378563200"/>
    <d v="2016-04-28T00:00:00"/>
    <s v="Thursday"/>
    <x v="0"/>
    <n v="5417"/>
    <n v="4.3000001909999996"/>
    <n v="4.3000001909999996"/>
    <n v="0"/>
    <n v="0.89999997600000003"/>
    <n v="0.49000000999999999"/>
    <n v="2.9100000860000002"/>
    <n v="0"/>
    <n v="11"/>
    <n v="10"/>
    <n v="139"/>
    <n v="711"/>
    <n v="160"/>
    <n v="871"/>
    <x v="3"/>
    <n v="2884"/>
  </r>
  <r>
    <n v="8378563200"/>
    <d v="2016-04-29T00:00:00"/>
    <s v="Friday"/>
    <x v="0"/>
    <n v="6175"/>
    <n v="4.9000000950000002"/>
    <n v="4.9000000950000002"/>
    <n v="0"/>
    <n v="0.25"/>
    <n v="0.36000001399999998"/>
    <n v="4.2699999809999998"/>
    <n v="0"/>
    <n v="3"/>
    <n v="7"/>
    <n v="172"/>
    <n v="767"/>
    <n v="182"/>
    <n v="949"/>
    <x v="3"/>
    <n v="2982"/>
  </r>
  <r>
    <n v="8378563200"/>
    <d v="2016-04-30T00:00:00"/>
    <s v="Saturday"/>
    <x v="1"/>
    <n v="2946"/>
    <n v="2.3399999139999998"/>
    <n v="2.3399999139999998"/>
    <n v="0"/>
    <n v="0"/>
    <n v="0"/>
    <n v="2.3399999139999998"/>
    <n v="0"/>
    <n v="0"/>
    <n v="0"/>
    <n v="121"/>
    <n v="780"/>
    <n v="121"/>
    <n v="901"/>
    <x v="2"/>
    <n v="2660"/>
  </r>
  <r>
    <n v="8378563200"/>
    <d v="2016-05-01T00:00:00"/>
    <s v="Sunday"/>
    <x v="1"/>
    <n v="11419"/>
    <n v="9.0600004199999997"/>
    <n v="9.0600004199999997"/>
    <n v="0"/>
    <n v="6.0300002099999999"/>
    <n v="0.560000002"/>
    <n v="2.4700000289999999"/>
    <n v="0"/>
    <n v="71"/>
    <n v="10"/>
    <n v="127"/>
    <n v="669"/>
    <n v="208"/>
    <n v="877"/>
    <x v="0"/>
    <n v="3369"/>
  </r>
  <r>
    <n v="8378563200"/>
    <d v="2016-05-02T00:00:00"/>
    <s v="Monday"/>
    <x v="0"/>
    <n v="6064"/>
    <n v="4.8099999430000002"/>
    <n v="4.8099999430000002"/>
    <n v="2.0921471120000001"/>
    <n v="0.62999999500000003"/>
    <n v="0.17000000200000001"/>
    <n v="4.0100002290000001"/>
    <n v="0"/>
    <n v="63"/>
    <n v="4"/>
    <n v="142"/>
    <n v="802"/>
    <n v="209"/>
    <n v="1011"/>
    <x v="3"/>
    <n v="3491"/>
  </r>
  <r>
    <n v="8378563200"/>
    <d v="2016-05-03T00:00:00"/>
    <s v="Tuesday"/>
    <x v="0"/>
    <n v="8712"/>
    <n v="6.9099998469999999"/>
    <n v="6.9099998469999999"/>
    <n v="2.2530810830000001"/>
    <n v="1.3400000329999999"/>
    <n v="1.059999943"/>
    <n v="4.5"/>
    <n v="0"/>
    <n v="71"/>
    <n v="20"/>
    <n v="195"/>
    <n v="822"/>
    <n v="286"/>
    <n v="1108"/>
    <x v="1"/>
    <n v="3784"/>
  </r>
  <r>
    <n v="8378563200"/>
    <d v="2016-05-04T00:00:00"/>
    <s v="Wednesday"/>
    <x v="0"/>
    <n v="7875"/>
    <n v="6.2399997709999999"/>
    <n v="6.2399997709999999"/>
    <n v="0"/>
    <n v="1.559999943"/>
    <n v="0.49000000999999999"/>
    <n v="4.1999998090000004"/>
    <n v="0"/>
    <n v="19"/>
    <n v="10"/>
    <n v="167"/>
    <n v="680"/>
    <n v="196"/>
    <n v="876"/>
    <x v="1"/>
    <n v="3110"/>
  </r>
  <r>
    <n v="8378563200"/>
    <d v="2016-05-05T00:00:00"/>
    <s v="Thursday"/>
    <x v="0"/>
    <n v="8567"/>
    <n v="6.7899999619999996"/>
    <n v="6.7899999619999996"/>
    <n v="2.2530810830000001"/>
    <n v="0.88999998599999997"/>
    <n v="0.15999999600000001"/>
    <n v="5.7399997709999999"/>
    <n v="0"/>
    <n v="66"/>
    <n v="3"/>
    <n v="214"/>
    <n v="764"/>
    <n v="283"/>
    <n v="1047"/>
    <x v="1"/>
    <n v="3783"/>
  </r>
  <r>
    <n v="8378563200"/>
    <d v="2016-05-06T00:00:00"/>
    <s v="Friday"/>
    <x v="0"/>
    <n v="7045"/>
    <n v="5.5900001530000001"/>
    <n v="5.5900001530000001"/>
    <n v="2.0921471120000001"/>
    <n v="1.5499999520000001"/>
    <n v="0.25"/>
    <n v="3.7799999710000001"/>
    <n v="0"/>
    <n v="74"/>
    <n v="5"/>
    <n v="166"/>
    <n v="831"/>
    <n v="245"/>
    <n v="1076"/>
    <x v="3"/>
    <n v="3644"/>
  </r>
  <r>
    <n v="8378563200"/>
    <d v="2016-05-07T00:00:00"/>
    <s v="Saturday"/>
    <x v="1"/>
    <n v="4468"/>
    <n v="3.539999962"/>
    <n v="3.539999962"/>
    <n v="0"/>
    <n v="0"/>
    <n v="0"/>
    <n v="3.539999962"/>
    <n v="0"/>
    <n v="0"/>
    <n v="0"/>
    <n v="158"/>
    <n v="851"/>
    <n v="158"/>
    <n v="1009"/>
    <x v="2"/>
    <n v="2799"/>
  </r>
  <r>
    <n v="8378563200"/>
    <d v="2016-05-08T00:00:00"/>
    <s v="Sunday"/>
    <x v="1"/>
    <n v="2943"/>
    <n v="2.329999924"/>
    <n v="2.329999924"/>
    <n v="0"/>
    <n v="0"/>
    <n v="0"/>
    <n v="2.329999924"/>
    <n v="0"/>
    <n v="0"/>
    <n v="0"/>
    <n v="139"/>
    <n v="621"/>
    <n v="139"/>
    <n v="760"/>
    <x v="2"/>
    <n v="2685"/>
  </r>
  <r>
    <n v="8378563200"/>
    <d v="2016-05-09T00:00:00"/>
    <s v="Monday"/>
    <x v="0"/>
    <n v="8382"/>
    <n v="6.6500000950000002"/>
    <n v="6.6500000950000002"/>
    <n v="2.0921471120000001"/>
    <n v="1.269999981"/>
    <n v="0.66000002599999996"/>
    <n v="4.7199997900000001"/>
    <n v="0"/>
    <n v="71"/>
    <n v="13"/>
    <n v="171"/>
    <n v="772"/>
    <n v="255"/>
    <n v="1027"/>
    <x v="1"/>
    <n v="3721"/>
  </r>
  <r>
    <n v="8378563200"/>
    <d v="2016-05-10T00:00:00"/>
    <s v="Tuesday"/>
    <x v="0"/>
    <n v="6582"/>
    <n v="5.2199997900000001"/>
    <n v="5.2199997900000001"/>
    <n v="2.2530810830000001"/>
    <n v="0.66000002599999996"/>
    <n v="0.63999998599999997"/>
    <n v="3.920000076"/>
    <n v="0"/>
    <n v="63"/>
    <n v="13"/>
    <n v="152"/>
    <n v="840"/>
    <n v="228"/>
    <n v="1068"/>
    <x v="3"/>
    <n v="3586"/>
  </r>
  <r>
    <n v="8378563200"/>
    <d v="2016-05-11T00:00:00"/>
    <s v="Wednesday"/>
    <x v="0"/>
    <n v="9143"/>
    <n v="7.25"/>
    <n v="7.25"/>
    <n v="2.0921471120000001"/>
    <n v="1.3899999860000001"/>
    <n v="0.58999997400000004"/>
    <n v="5.2699999809999998"/>
    <n v="0"/>
    <n v="72"/>
    <n v="10"/>
    <n v="184"/>
    <n v="763"/>
    <n v="266"/>
    <n v="1029"/>
    <x v="1"/>
    <n v="3788"/>
  </r>
  <r>
    <n v="8583815059"/>
    <d v="2016-04-01T00:00:00"/>
    <s v="Friday"/>
    <x v="0"/>
    <n v="2174"/>
    <n v="1.7000000479999999"/>
    <n v="1.7000000479999999"/>
    <n v="0"/>
    <n v="0"/>
    <n v="0"/>
    <n v="1.7000000479999999"/>
    <n v="0"/>
    <n v="0"/>
    <n v="0"/>
    <n v="112"/>
    <n v="1328"/>
    <n v="112"/>
    <n v="1440"/>
    <x v="2"/>
    <n v="2360"/>
  </r>
  <r>
    <n v="8583815059"/>
    <d v="2016-04-02T00:00:00"/>
    <s v="Saturday"/>
    <x v="1"/>
    <n v="3494"/>
    <n v="2.7300000190000002"/>
    <n v="2.7300000190000002"/>
    <n v="0"/>
    <n v="0"/>
    <n v="0"/>
    <n v="2.6900000569999998"/>
    <n v="0"/>
    <n v="0"/>
    <n v="0"/>
    <n v="166"/>
    <n v="1274"/>
    <n v="166"/>
    <n v="1440"/>
    <x v="2"/>
    <n v="2517"/>
  </r>
  <r>
    <n v="8583815059"/>
    <d v="2016-04-03T00:00:00"/>
    <s v="Sunday"/>
    <x v="1"/>
    <n v="2380"/>
    <n v="1.8600000139999999"/>
    <n v="1.8600000139999999"/>
    <n v="0"/>
    <n v="0"/>
    <n v="0"/>
    <n v="1.8600000139999999"/>
    <n v="0"/>
    <n v="0"/>
    <n v="0"/>
    <n v="131"/>
    <n v="1309"/>
    <n v="131"/>
    <n v="1440"/>
    <x v="2"/>
    <n v="2400"/>
  </r>
  <r>
    <n v="8583815059"/>
    <d v="2016-04-04T00:00:00"/>
    <s v="Monday"/>
    <x v="0"/>
    <n v="3159"/>
    <n v="2.460000038"/>
    <n v="2.460000038"/>
    <n v="0"/>
    <n v="0"/>
    <n v="0"/>
    <n v="2.460000038"/>
    <n v="0"/>
    <n v="0"/>
    <n v="0"/>
    <n v="147"/>
    <n v="1293"/>
    <n v="147"/>
    <n v="1440"/>
    <x v="2"/>
    <n v="2462"/>
  </r>
  <r>
    <n v="8583815059"/>
    <d v="2016-04-05T00:00:00"/>
    <s v="Tuesday"/>
    <x v="0"/>
    <n v="6835"/>
    <n v="5.329999924"/>
    <n v="5.329999924"/>
    <n v="0"/>
    <n v="0.37000000500000002"/>
    <n v="0.730000019"/>
    <n v="4.2399997709999999"/>
    <n v="0"/>
    <n v="5"/>
    <n v="15"/>
    <n v="212"/>
    <n v="1208"/>
    <n v="232"/>
    <n v="1440"/>
    <x v="3"/>
    <n v="2786"/>
  </r>
  <r>
    <n v="8583815059"/>
    <d v="2016-04-06T00:00:00"/>
    <s v="Wednesday"/>
    <x v="0"/>
    <n v="2098"/>
    <n v="1.6399999860000001"/>
    <n v="1.6399999860000001"/>
    <n v="0"/>
    <n v="0"/>
    <n v="0"/>
    <n v="1.6299999949999999"/>
    <n v="0"/>
    <n v="0"/>
    <n v="0"/>
    <n v="112"/>
    <n v="1328"/>
    <n v="112"/>
    <n v="1440"/>
    <x v="2"/>
    <n v="2354"/>
  </r>
  <r>
    <n v="8583815059"/>
    <d v="2016-04-07T00:00:00"/>
    <s v="Thursday"/>
    <x v="0"/>
    <n v="2816"/>
    <n v="2.2000000480000002"/>
    <n v="2.2000000480000002"/>
    <n v="0"/>
    <n v="0"/>
    <n v="0"/>
    <n v="2.2000000480000002"/>
    <n v="0"/>
    <n v="0"/>
    <n v="0"/>
    <n v="138"/>
    <n v="1302"/>
    <n v="138"/>
    <n v="1440"/>
    <x v="2"/>
    <n v="2437"/>
  </r>
  <r>
    <n v="8583815059"/>
    <d v="2016-04-08T00:00:00"/>
    <s v="Friday"/>
    <x v="0"/>
    <n v="1408"/>
    <n v="1.1000000240000001"/>
    <n v="1.1000000240000001"/>
    <n v="0"/>
    <n v="0"/>
    <n v="0"/>
    <n v="1.1000000240000001"/>
    <n v="0"/>
    <n v="0"/>
    <n v="0"/>
    <n v="79"/>
    <n v="1052"/>
    <n v="79"/>
    <n v="1131"/>
    <x v="2"/>
    <n v="1814"/>
  </r>
  <r>
    <n v="8583815059"/>
    <d v="2016-04-12T00:00:00"/>
    <s v="Tuesday"/>
    <x v="0"/>
    <n v="5014"/>
    <n v="3.9100000860000002"/>
    <n v="3.9100000860000002"/>
    <n v="0"/>
    <n v="0"/>
    <n v="0.33000001299999998"/>
    <n v="3.579999924"/>
    <n v="0"/>
    <n v="0"/>
    <n v="7"/>
    <n v="196"/>
    <n v="1237"/>
    <n v="203"/>
    <n v="1440"/>
    <x v="3"/>
    <n v="2650"/>
  </r>
  <r>
    <n v="8583815059"/>
    <d v="2016-04-13T00:00:00"/>
    <s v="Wednesday"/>
    <x v="0"/>
    <n v="5571"/>
    <n v="4.3499999049999998"/>
    <n v="4.3499999049999998"/>
    <n v="0"/>
    <n v="0.15000000599999999"/>
    <n v="0.97000002900000004"/>
    <n v="3.2300000190000002"/>
    <n v="0"/>
    <n v="2"/>
    <n v="23"/>
    <n v="163"/>
    <n v="1252"/>
    <n v="188"/>
    <n v="1440"/>
    <x v="3"/>
    <n v="2654"/>
  </r>
  <r>
    <n v="8583815059"/>
    <d v="2016-04-14T00:00:00"/>
    <s v="Thursday"/>
    <x v="0"/>
    <n v="3135"/>
    <n v="2.4500000480000002"/>
    <n v="2.4500000480000002"/>
    <n v="0"/>
    <n v="0"/>
    <n v="0"/>
    <n v="2.4300000669999999"/>
    <n v="0"/>
    <n v="0"/>
    <n v="0"/>
    <n v="134"/>
    <n v="1306"/>
    <n v="134"/>
    <n v="1440"/>
    <x v="2"/>
    <n v="2443"/>
  </r>
  <r>
    <n v="8583815059"/>
    <d v="2016-04-15T00:00:00"/>
    <s v="Friday"/>
    <x v="0"/>
    <n v="3430"/>
    <n v="2.6800000669999999"/>
    <n v="2.6800000669999999"/>
    <n v="0"/>
    <n v="0"/>
    <n v="0"/>
    <n v="0.89999997600000003"/>
    <n v="0"/>
    <n v="0"/>
    <n v="0"/>
    <n v="65"/>
    <n v="1375"/>
    <n v="65"/>
    <n v="1440"/>
    <x v="2"/>
    <n v="2505"/>
  </r>
  <r>
    <n v="8583815059"/>
    <d v="2016-04-18T00:00:00"/>
    <s v="Monday"/>
    <x v="0"/>
    <n v="3864"/>
    <n v="3.0099999899999998"/>
    <n v="3.0099999899999998"/>
    <n v="0"/>
    <n v="0.310000002"/>
    <n v="1.059999943"/>
    <n v="1.3500000240000001"/>
    <n v="0"/>
    <n v="4"/>
    <n v="22"/>
    <n v="105"/>
    <n v="1309"/>
    <n v="131"/>
    <n v="1440"/>
    <x v="2"/>
    <n v="2536"/>
  </r>
  <r>
    <n v="8583815059"/>
    <d v="2016-04-19T00:00:00"/>
    <s v="Tuesday"/>
    <x v="0"/>
    <n v="5697"/>
    <n v="4.4400000569999998"/>
    <n v="4.4400000569999998"/>
    <n v="0"/>
    <n v="0.52999997099999996"/>
    <n v="0.47999998900000002"/>
    <n v="3.4400000569999998"/>
    <n v="0"/>
    <n v="7"/>
    <n v="10"/>
    <n v="166"/>
    <n v="1257"/>
    <n v="183"/>
    <n v="1440"/>
    <x v="3"/>
    <n v="2668"/>
  </r>
  <r>
    <n v="8583815059"/>
    <d v="2016-04-20T00:00:00"/>
    <s v="Wednesday"/>
    <x v="0"/>
    <n v="5273"/>
    <n v="4.1100001339999999"/>
    <n v="4.1100001339999999"/>
    <n v="0"/>
    <n v="0"/>
    <n v="1.039999962"/>
    <n v="3.0699999330000001"/>
    <n v="0"/>
    <n v="0"/>
    <n v="27"/>
    <n v="167"/>
    <n v="1246"/>
    <n v="194"/>
    <n v="1440"/>
    <x v="3"/>
    <n v="2647"/>
  </r>
  <r>
    <n v="8583815059"/>
    <d v="2016-04-21T00:00:00"/>
    <s v="Thursday"/>
    <x v="0"/>
    <n v="8538"/>
    <n v="6.6599998469999999"/>
    <n v="6.6599998469999999"/>
    <n v="0"/>
    <n v="2.630000114"/>
    <n v="1.019999981"/>
    <n v="3.0099999899999998"/>
    <n v="0"/>
    <n v="35"/>
    <n v="18"/>
    <n v="158"/>
    <n v="1229"/>
    <n v="211"/>
    <n v="1440"/>
    <x v="1"/>
    <n v="2883"/>
  </r>
  <r>
    <n v="8583815059"/>
    <d v="2016-04-22T00:00:00"/>
    <s v="Friday"/>
    <x v="0"/>
    <n v="8687"/>
    <n v="6.7800002099999999"/>
    <n v="6.7800002099999999"/>
    <n v="0"/>
    <n v="0.28999999199999998"/>
    <n v="2.4100000860000002"/>
    <n v="4.079999924"/>
    <n v="0"/>
    <n v="4"/>
    <n v="54"/>
    <n v="212"/>
    <n v="1170"/>
    <n v="270"/>
    <n v="1440"/>
    <x v="1"/>
    <n v="2944"/>
  </r>
  <r>
    <n v="8583815059"/>
    <d v="2016-04-23T00:00:00"/>
    <s v="Saturday"/>
    <x v="1"/>
    <n v="9423"/>
    <n v="7.3499999049999998"/>
    <n v="7.3499999049999998"/>
    <n v="0"/>
    <n v="0.52999997099999996"/>
    <n v="2.0299999710000001"/>
    <n v="4.75"/>
    <n v="0"/>
    <n v="7"/>
    <n v="44"/>
    <n v="238"/>
    <n v="1151"/>
    <n v="289"/>
    <n v="1440"/>
    <x v="1"/>
    <n v="3012"/>
  </r>
  <r>
    <n v="8583815059"/>
    <d v="2016-04-24T00:00:00"/>
    <s v="Sunday"/>
    <x v="1"/>
    <n v="8286"/>
    <n v="6.4600000380000004"/>
    <n v="6.4600000380000004"/>
    <n v="0"/>
    <n v="0.15000000599999999"/>
    <n v="2.0499999519999998"/>
    <n v="4.2699999809999998"/>
    <n v="0"/>
    <n v="2"/>
    <n v="44"/>
    <n v="206"/>
    <n v="1188"/>
    <n v="252"/>
    <n v="1440"/>
    <x v="1"/>
    <n v="2889"/>
  </r>
  <r>
    <n v="8583815059"/>
    <d v="2016-04-25T00:00:00"/>
    <s v="Monday"/>
    <x v="0"/>
    <n v="4503"/>
    <n v="3.5099999899999998"/>
    <n v="3.5099999899999998"/>
    <n v="0"/>
    <n v="1.4700000289999999"/>
    <n v="0.23999999499999999"/>
    <n v="1.809999943"/>
    <n v="0"/>
    <n v="18"/>
    <n v="6"/>
    <n v="122"/>
    <n v="1294"/>
    <n v="146"/>
    <n v="1440"/>
    <x v="2"/>
    <n v="2547"/>
  </r>
  <r>
    <n v="8583815059"/>
    <d v="2016-04-26T00:00:00"/>
    <s v="Tuesday"/>
    <x v="0"/>
    <n v="10499"/>
    <n v="8.1899995800000003"/>
    <n v="8.1899995800000003"/>
    <n v="0"/>
    <n v="7.0000000000000007E-2"/>
    <n v="4.2199997900000001"/>
    <n v="3.8900001049999999"/>
    <n v="0"/>
    <n v="1"/>
    <n v="91"/>
    <n v="214"/>
    <n v="1134"/>
    <n v="306"/>
    <n v="1440"/>
    <x v="0"/>
    <n v="3093"/>
  </r>
  <r>
    <n v="8583815059"/>
    <d v="2016-04-27T00:00:00"/>
    <s v="Wednesday"/>
    <x v="0"/>
    <n v="12474"/>
    <n v="9.7299995419999998"/>
    <n v="9.7299995419999998"/>
    <n v="0"/>
    <n v="6.5999999049999998"/>
    <n v="0.27000001099999998"/>
    <n v="2.869999886"/>
    <n v="0"/>
    <n v="77"/>
    <n v="5"/>
    <n v="129"/>
    <n v="1229"/>
    <n v="211"/>
    <n v="1440"/>
    <x v="0"/>
    <n v="3142"/>
  </r>
  <r>
    <n v="8583815059"/>
    <d v="2016-04-28T00:00:00"/>
    <s v="Thursday"/>
    <x v="0"/>
    <n v="6174"/>
    <n v="4.8200001720000003"/>
    <n v="4.8200001720000003"/>
    <n v="0"/>
    <n v="0"/>
    <n v="1.2000000479999999"/>
    <n v="3.6099998950000001"/>
    <n v="0"/>
    <n v="0"/>
    <n v="28"/>
    <n v="203"/>
    <n v="1209"/>
    <n v="231"/>
    <n v="1440"/>
    <x v="3"/>
    <n v="2757"/>
  </r>
  <r>
    <n v="8583815059"/>
    <d v="2016-04-29T00:00:00"/>
    <s v="Friday"/>
    <x v="0"/>
    <n v="15168"/>
    <n v="11.829999920000001"/>
    <n v="11.829999920000001"/>
    <n v="0"/>
    <n v="3.9000000950000002"/>
    <n v="3"/>
    <n v="4.920000076"/>
    <n v="0"/>
    <n v="46"/>
    <n v="67"/>
    <n v="258"/>
    <n v="1069"/>
    <n v="371"/>
    <n v="1440"/>
    <x v="0"/>
    <n v="3513"/>
  </r>
  <r>
    <n v="8583815059"/>
    <d v="2016-04-30T00:00:00"/>
    <s v="Saturday"/>
    <x v="1"/>
    <n v="10085"/>
    <n v="7.8699998860000004"/>
    <n v="7.8699998860000004"/>
    <n v="0"/>
    <n v="0.15000000599999999"/>
    <n v="1.2799999710000001"/>
    <n v="6.4299998279999997"/>
    <n v="0"/>
    <n v="2"/>
    <n v="28"/>
    <n v="317"/>
    <n v="1093"/>
    <n v="347"/>
    <n v="1440"/>
    <x v="0"/>
    <n v="3164"/>
  </r>
  <r>
    <n v="8583815059"/>
    <d v="2016-05-01T00:00:00"/>
    <s v="Sunday"/>
    <x v="1"/>
    <n v="4512"/>
    <n v="3.5199999809999998"/>
    <n v="3.5199999809999998"/>
    <n v="0"/>
    <n v="0.77999997099999996"/>
    <n v="0.119999997"/>
    <n v="2.039999962"/>
    <n v="0"/>
    <n v="10"/>
    <n v="2"/>
    <n v="117"/>
    <n v="1311"/>
    <n v="129"/>
    <n v="1440"/>
    <x v="2"/>
    <n v="2596"/>
  </r>
  <r>
    <n v="8583815059"/>
    <d v="2016-05-05T00:00:00"/>
    <s v="Thursday"/>
    <x v="0"/>
    <n v="12427"/>
    <n v="9.6899995800000003"/>
    <n v="9.6899995800000003"/>
    <n v="0"/>
    <n v="0"/>
    <n v="0"/>
    <n v="1.1799999480000001"/>
    <n v="0"/>
    <n v="0"/>
    <n v="0"/>
    <n v="70"/>
    <n v="1370"/>
    <n v="70"/>
    <n v="1440"/>
    <x v="0"/>
    <n v="3266"/>
  </r>
  <r>
    <n v="8583815059"/>
    <d v="2016-05-06T00:00:00"/>
    <s v="Friday"/>
    <x v="0"/>
    <n v="5843"/>
    <n v="4.5599999430000002"/>
    <n v="4.5599999430000002"/>
    <n v="0"/>
    <n v="0.14000000100000001"/>
    <n v="1.190000057"/>
    <n v="3.2300000190000002"/>
    <n v="0"/>
    <n v="2"/>
    <n v="22"/>
    <n v="166"/>
    <n v="1250"/>
    <n v="190"/>
    <n v="1440"/>
    <x v="3"/>
    <n v="2683"/>
  </r>
  <r>
    <n v="8583815059"/>
    <d v="2016-05-07T00:00:00"/>
    <s v="Saturday"/>
    <x v="1"/>
    <n v="6117"/>
    <n v="4.7699999809999998"/>
    <n v="4.7699999809999998"/>
    <n v="0"/>
    <n v="0"/>
    <n v="0"/>
    <n v="4.7699999809999998"/>
    <n v="0"/>
    <n v="0"/>
    <n v="0"/>
    <n v="250"/>
    <n v="1190"/>
    <n v="250"/>
    <n v="1440"/>
    <x v="3"/>
    <n v="2810"/>
  </r>
  <r>
    <n v="8583815059"/>
    <d v="2016-05-08T00:00:00"/>
    <s v="Sunday"/>
    <x v="1"/>
    <n v="9217"/>
    <n v="7.1900000569999998"/>
    <n v="7.1900000569999998"/>
    <n v="0"/>
    <n v="0.219999999"/>
    <n v="3.3099999430000002"/>
    <n v="3.6600000860000002"/>
    <n v="0"/>
    <n v="3"/>
    <n v="72"/>
    <n v="182"/>
    <n v="1183"/>
    <n v="257"/>
    <n v="1440"/>
    <x v="1"/>
    <n v="2940"/>
  </r>
  <r>
    <n v="8583815059"/>
    <d v="2016-05-09T00:00:00"/>
    <s v="Monday"/>
    <x v="0"/>
    <n v="9877"/>
    <n v="7.6999998090000004"/>
    <n v="7.6999998090000004"/>
    <n v="0"/>
    <n v="5.7600002290000001"/>
    <n v="0.17000000200000001"/>
    <n v="1.730000019"/>
    <n v="0"/>
    <n v="66"/>
    <n v="4"/>
    <n v="110"/>
    <n v="1260"/>
    <n v="180"/>
    <n v="1440"/>
    <x v="1"/>
    <n v="2947"/>
  </r>
  <r>
    <n v="8583815059"/>
    <d v="2016-05-10T00:00:00"/>
    <s v="Tuesday"/>
    <x v="0"/>
    <n v="8240"/>
    <n v="6.4299998279999997"/>
    <n v="6.4299998279999997"/>
    <n v="0"/>
    <n v="0.689999998"/>
    <n v="2.0099999899999998"/>
    <n v="3.7200000289999999"/>
    <n v="0"/>
    <n v="9"/>
    <n v="43"/>
    <n v="162"/>
    <n v="1226"/>
    <n v="214"/>
    <n v="1440"/>
    <x v="1"/>
    <n v="2846"/>
  </r>
  <r>
    <n v="8583815059"/>
    <d v="2016-05-11T00:00:00"/>
    <s v="Wednesday"/>
    <x v="0"/>
    <n v="8701"/>
    <n v="6.7899999619999996"/>
    <n v="6.7899999619999996"/>
    <n v="0"/>
    <n v="0.37000000500000002"/>
    <n v="3.2400000100000002"/>
    <n v="3.170000076"/>
    <n v="0"/>
    <n v="5"/>
    <n v="71"/>
    <n v="177"/>
    <n v="1106"/>
    <n v="253"/>
    <n v="1359"/>
    <x v="1"/>
    <n v="2804"/>
  </r>
  <r>
    <n v="8792009665"/>
    <d v="2016-04-01T00:00:00"/>
    <s v="Friday"/>
    <x v="0"/>
    <n v="4592"/>
    <n v="2.9400000569999998"/>
    <n v="2.9400000569999998"/>
    <n v="0"/>
    <n v="0.10000000100000001"/>
    <n v="0.14000000100000001"/>
    <n v="2.7000000480000002"/>
    <n v="0"/>
    <n v="4"/>
    <n v="8"/>
    <n v="176"/>
    <n v="748"/>
    <n v="188"/>
    <n v="936"/>
    <x v="2"/>
    <n v="2260"/>
  </r>
  <r>
    <n v="8792009665"/>
    <d v="2016-04-02T00:00:00"/>
    <s v="Saturday"/>
    <x v="1"/>
    <n v="8452"/>
    <n v="5.4099998469999999"/>
    <n v="5.4099998469999999"/>
    <n v="0"/>
    <n v="0.25999999000000001"/>
    <n v="0.38999998600000002"/>
    <n v="4.7600002290000001"/>
    <n v="0"/>
    <n v="9"/>
    <n v="24"/>
    <n v="328"/>
    <n v="1079"/>
    <n v="361"/>
    <n v="1440"/>
    <x v="1"/>
    <n v="3004"/>
  </r>
  <r>
    <n v="8792009665"/>
    <d v="2016-04-03T00:00:00"/>
    <s v="Sunday"/>
    <x v="1"/>
    <n v="7238"/>
    <n v="4.6300001139999996"/>
    <n v="4.6300001139999996"/>
    <n v="0"/>
    <n v="0.109999999"/>
    <n v="0.23000000400000001"/>
    <n v="4.2899999619999996"/>
    <n v="0"/>
    <n v="2"/>
    <n v="6"/>
    <n v="279"/>
    <n v="636"/>
    <n v="287"/>
    <n v="923"/>
    <x v="3"/>
    <n v="2667"/>
  </r>
  <r>
    <n v="8792009665"/>
    <d v="2016-04-04T00:00:00"/>
    <s v="Monday"/>
    <x v="0"/>
    <n v="3821"/>
    <n v="2.4500000480000002"/>
    <n v="2.4500000480000002"/>
    <n v="0"/>
    <n v="0"/>
    <n v="0.219999999"/>
    <n v="2.2300000190000002"/>
    <n v="0"/>
    <n v="0"/>
    <n v="9"/>
    <n v="161"/>
    <n v="675"/>
    <n v="170"/>
    <n v="845"/>
    <x v="2"/>
    <n v="2229"/>
  </r>
  <r>
    <n v="8792009665"/>
    <d v="2016-04-05T00:00:00"/>
    <s v="Tuesday"/>
    <x v="0"/>
    <n v="2332"/>
    <n v="1.4900000099999999"/>
    <n v="1.4900000099999999"/>
    <n v="0"/>
    <n v="0.01"/>
    <n v="0.18000000699999999"/>
    <n v="1.2999999520000001"/>
    <n v="0"/>
    <n v="1"/>
    <n v="10"/>
    <n v="111"/>
    <n v="904"/>
    <n v="122"/>
    <n v="1026"/>
    <x v="2"/>
    <n v="2100"/>
  </r>
  <r>
    <n v="8792009665"/>
    <d v="2016-04-06T00:00:00"/>
    <s v="Wednesday"/>
    <x v="0"/>
    <n v="2121"/>
    <n v="1.3600000139999999"/>
    <n v="1.3600000139999999"/>
    <n v="0"/>
    <n v="0"/>
    <n v="0"/>
    <n v="1.3600000139999999"/>
    <n v="0"/>
    <n v="0"/>
    <n v="0"/>
    <n v="122"/>
    <n v="855"/>
    <n v="122"/>
    <n v="977"/>
    <x v="2"/>
    <n v="2114"/>
  </r>
  <r>
    <n v="8792009665"/>
    <d v="2016-04-07T00:00:00"/>
    <s v="Thursday"/>
    <x v="0"/>
    <n v="1291"/>
    <n v="0.829999983"/>
    <n v="0.829999983"/>
    <n v="0"/>
    <n v="0"/>
    <n v="0"/>
    <n v="0.829999983"/>
    <n v="0"/>
    <n v="0"/>
    <n v="0"/>
    <n v="77"/>
    <n v="888"/>
    <n v="77"/>
    <n v="965"/>
    <x v="2"/>
    <n v="1961"/>
  </r>
  <r>
    <n v="8792009665"/>
    <d v="2016-04-08T00:00:00"/>
    <s v="Friday"/>
    <x v="0"/>
    <n v="1467"/>
    <n v="0.939999998"/>
    <n v="0.939999998"/>
    <n v="0"/>
    <n v="0.10000000100000001"/>
    <n v="0.209999993"/>
    <n v="0.62999999500000003"/>
    <n v="0"/>
    <n v="2"/>
    <n v="8"/>
    <n v="71"/>
    <n v="912"/>
    <n v="81"/>
    <n v="993"/>
    <x v="2"/>
    <n v="1953"/>
  </r>
  <r>
    <n v="8792009665"/>
    <d v="2016-04-09T00:00:00"/>
    <s v="Saturday"/>
    <x v="1"/>
    <n v="1022"/>
    <n v="0.64999997600000003"/>
    <n v="0.64999997600000003"/>
    <n v="0"/>
    <n v="0"/>
    <n v="0"/>
    <n v="0.64999997600000003"/>
    <n v="0"/>
    <n v="0"/>
    <n v="0"/>
    <n v="63"/>
    <n v="739"/>
    <n v="63"/>
    <n v="802"/>
    <x v="2"/>
    <n v="1890"/>
  </r>
  <r>
    <n v="8792009665"/>
    <d v="2016-04-10T00:00:00"/>
    <s v="Sunday"/>
    <x v="1"/>
    <n v="4605"/>
    <n v="2.9500000480000002"/>
    <n v="2.9500000480000002"/>
    <n v="0"/>
    <n v="0"/>
    <n v="0"/>
    <n v="2.9500000480000002"/>
    <n v="0"/>
    <n v="0"/>
    <n v="0"/>
    <n v="179"/>
    <n v="1261"/>
    <n v="179"/>
    <n v="1440"/>
    <x v="2"/>
    <n v="2253"/>
  </r>
  <r>
    <n v="8792009665"/>
    <d v="2016-04-13T00:00:00"/>
    <s v="Wednesday"/>
    <x v="0"/>
    <n v="1320"/>
    <n v="0.83999997400000004"/>
    <n v="0.83999997400000004"/>
    <n v="0"/>
    <n v="0"/>
    <n v="0"/>
    <n v="0.83999997400000004"/>
    <n v="0"/>
    <n v="0"/>
    <n v="0"/>
    <n v="82"/>
    <n v="806"/>
    <n v="82"/>
    <n v="888"/>
    <x v="2"/>
    <n v="1934"/>
  </r>
  <r>
    <n v="8792009665"/>
    <d v="2016-04-14T00:00:00"/>
    <s v="Thursday"/>
    <x v="0"/>
    <n v="1219"/>
    <n v="0.77999997099999996"/>
    <n v="0.77999997099999996"/>
    <n v="0"/>
    <n v="0"/>
    <n v="0"/>
    <n v="0.77999997099999996"/>
    <n v="0"/>
    <n v="0"/>
    <n v="0"/>
    <n v="84"/>
    <n v="853"/>
    <n v="84"/>
    <n v="937"/>
    <x v="2"/>
    <n v="1963"/>
  </r>
  <r>
    <n v="8792009665"/>
    <d v="2016-04-15T00:00:00"/>
    <s v="Friday"/>
    <x v="0"/>
    <n v="2483"/>
    <n v="1.5900000329999999"/>
    <n v="1.5900000329999999"/>
    <n v="0"/>
    <n v="0"/>
    <n v="0"/>
    <n v="1.5900000329999999"/>
    <n v="0"/>
    <n v="0"/>
    <n v="0"/>
    <n v="126"/>
    <n v="937"/>
    <n v="126"/>
    <n v="1063"/>
    <x v="2"/>
    <n v="2009"/>
  </r>
  <r>
    <n v="8792009665"/>
    <d v="2016-04-16T00:00:00"/>
    <s v="Saturday"/>
    <x v="1"/>
    <n v="244"/>
    <n v="0.15999999600000001"/>
    <n v="0.15999999600000001"/>
    <n v="0"/>
    <n v="0"/>
    <n v="0"/>
    <n v="0.15999999600000001"/>
    <n v="0"/>
    <n v="0"/>
    <n v="0"/>
    <n v="12"/>
    <n v="1428"/>
    <n v="12"/>
    <n v="1440"/>
    <x v="2"/>
    <n v="1721"/>
  </r>
  <r>
    <n v="8792009665"/>
    <d v="2016-04-20T00:00:00"/>
    <s v="Wednesday"/>
    <x v="0"/>
    <n v="3147"/>
    <n v="2.0099999899999998"/>
    <n v="2.0099999899999998"/>
    <n v="0"/>
    <n v="0"/>
    <n v="0.280000001"/>
    <n v="1.7400000099999999"/>
    <n v="0"/>
    <n v="0"/>
    <n v="10"/>
    <n v="139"/>
    <n v="744"/>
    <n v="149"/>
    <n v="893"/>
    <x v="2"/>
    <n v="2188"/>
  </r>
  <r>
    <n v="8792009665"/>
    <d v="2016-04-22T00:00:00"/>
    <s v="Friday"/>
    <x v="0"/>
    <n v="4068"/>
    <n v="2.5999999049999998"/>
    <n v="2.5999999049999998"/>
    <n v="0"/>
    <n v="5.0000001000000002E-2"/>
    <n v="0.280000001"/>
    <n v="2.2699999809999998"/>
    <n v="0"/>
    <n v="1"/>
    <n v="20"/>
    <n v="195"/>
    <n v="817"/>
    <n v="216"/>
    <n v="1033"/>
    <x v="2"/>
    <n v="2419"/>
  </r>
  <r>
    <n v="8792009665"/>
    <d v="2016-04-23T00:00:00"/>
    <s v="Saturday"/>
    <x v="1"/>
    <n v="5245"/>
    <n v="3.3599998950000001"/>
    <n v="3.3599998950000001"/>
    <n v="0"/>
    <n v="0.15999999600000001"/>
    <n v="0.439999998"/>
    <n v="2.75"/>
    <n v="0"/>
    <n v="8"/>
    <n v="45"/>
    <n v="232"/>
    <n v="795"/>
    <n v="285"/>
    <n v="1080"/>
    <x v="3"/>
    <n v="2748"/>
  </r>
  <r>
    <n v="8792009665"/>
    <d v="2016-04-24T00:00:00"/>
    <s v="Sunday"/>
    <x v="1"/>
    <n v="400"/>
    <n v="0.25999999000000001"/>
    <n v="0.25999999000000001"/>
    <n v="0"/>
    <n v="3.9999999000000001E-2"/>
    <n v="5.0000001000000002E-2"/>
    <n v="0.15999999600000001"/>
    <n v="0"/>
    <n v="3"/>
    <n v="8"/>
    <n v="19"/>
    <n v="1410"/>
    <n v="30"/>
    <n v="1440"/>
    <x v="2"/>
    <n v="1799"/>
  </r>
  <r>
    <n v="8792009665"/>
    <d v="2016-04-26T00:00:00"/>
    <s v="Tuesday"/>
    <x v="0"/>
    <n v="1321"/>
    <n v="0.85000002399999997"/>
    <n v="0.85000002399999997"/>
    <n v="0"/>
    <n v="0"/>
    <n v="0"/>
    <n v="0.85000002399999997"/>
    <n v="0"/>
    <n v="0"/>
    <n v="0"/>
    <n v="80"/>
    <n v="1360"/>
    <n v="80"/>
    <n v="1440"/>
    <x v="2"/>
    <n v="1928"/>
  </r>
  <r>
    <n v="8792009665"/>
    <d v="2016-04-27T00:00:00"/>
    <s v="Wednesday"/>
    <x v="0"/>
    <n v="1758"/>
    <n v="1.1299999949999999"/>
    <n v="1.1299999949999999"/>
    <n v="0"/>
    <n v="0"/>
    <n v="0"/>
    <n v="1.1299999949999999"/>
    <n v="0"/>
    <n v="0"/>
    <n v="0"/>
    <n v="112"/>
    <n v="900"/>
    <n v="112"/>
    <n v="1012"/>
    <x v="2"/>
    <n v="2067"/>
  </r>
  <r>
    <n v="8792009665"/>
    <d v="2016-04-28T00:00:00"/>
    <s v="Thursday"/>
    <x v="0"/>
    <n v="6157"/>
    <n v="3.9400000569999998"/>
    <n v="3.9400000569999998"/>
    <n v="0"/>
    <n v="0"/>
    <n v="0"/>
    <n v="3.9400000569999998"/>
    <n v="0"/>
    <n v="0"/>
    <n v="0"/>
    <n v="310"/>
    <n v="714"/>
    <n v="310"/>
    <n v="1024"/>
    <x v="3"/>
    <n v="2780"/>
  </r>
  <r>
    <n v="8792009665"/>
    <d v="2016-04-29T00:00:00"/>
    <s v="Friday"/>
    <x v="0"/>
    <n v="8360"/>
    <n v="5.3499999049999998"/>
    <n v="5.3499999049999998"/>
    <n v="0"/>
    <n v="0.14000000100000001"/>
    <n v="0.280000001"/>
    <n v="4.9299998279999997"/>
    <n v="0"/>
    <n v="6"/>
    <n v="14"/>
    <n v="380"/>
    <n v="634"/>
    <n v="400"/>
    <n v="1034"/>
    <x v="1"/>
    <n v="3101"/>
  </r>
  <r>
    <n v="8792009665"/>
    <d v="2016-04-30T00:00:00"/>
    <s v="Saturday"/>
    <x v="1"/>
    <n v="7174"/>
    <n v="4.5900001530000001"/>
    <n v="4.5900001530000001"/>
    <n v="0"/>
    <n v="0.33000001299999998"/>
    <n v="0.36000001399999998"/>
    <n v="3.9100000860000002"/>
    <n v="0"/>
    <n v="10"/>
    <n v="20"/>
    <n v="301"/>
    <n v="749"/>
    <n v="331"/>
    <n v="1080"/>
    <x v="3"/>
    <n v="2896"/>
  </r>
  <r>
    <n v="8792009665"/>
    <d v="2016-05-01T00:00:00"/>
    <s v="Sunday"/>
    <x v="1"/>
    <n v="1619"/>
    <n v="1.039999962"/>
    <n v="1.039999962"/>
    <n v="0"/>
    <n v="0"/>
    <n v="0"/>
    <n v="1.039999962"/>
    <n v="0"/>
    <n v="0"/>
    <n v="0"/>
    <n v="79"/>
    <n v="834"/>
    <n v="79"/>
    <n v="913"/>
    <x v="2"/>
    <n v="1962"/>
  </r>
  <r>
    <n v="8792009665"/>
    <d v="2016-05-02T00:00:00"/>
    <s v="Monday"/>
    <x v="0"/>
    <n v="1831"/>
    <n v="1.1699999569999999"/>
    <n v="1.1699999569999999"/>
    <n v="0"/>
    <n v="0"/>
    <n v="0"/>
    <n v="1.1699999569999999"/>
    <n v="0"/>
    <n v="0"/>
    <n v="0"/>
    <n v="101"/>
    <n v="916"/>
    <n v="101"/>
    <n v="1017"/>
    <x v="2"/>
    <n v="2015"/>
  </r>
  <r>
    <n v="8792009665"/>
    <d v="2016-05-03T00:00:00"/>
    <s v="Tuesday"/>
    <x v="0"/>
    <n v="2421"/>
    <n v="1.5499999520000001"/>
    <n v="1.5499999520000001"/>
    <n v="0"/>
    <n v="0"/>
    <n v="0"/>
    <n v="1.5499999520000001"/>
    <n v="0"/>
    <n v="0"/>
    <n v="0"/>
    <n v="156"/>
    <n v="739"/>
    <n v="156"/>
    <n v="895"/>
    <x v="2"/>
    <n v="2297"/>
  </r>
  <r>
    <n v="8792009665"/>
    <d v="2016-05-04T00:00:00"/>
    <s v="Wednesday"/>
    <x v="0"/>
    <n v="2283"/>
    <n v="1.460000038"/>
    <n v="1.460000038"/>
    <n v="0"/>
    <n v="0"/>
    <n v="0"/>
    <n v="1.460000038"/>
    <n v="0"/>
    <n v="0"/>
    <n v="0"/>
    <n v="129"/>
    <n v="848"/>
    <n v="129"/>
    <n v="977"/>
    <x v="2"/>
    <n v="2067"/>
  </r>
  <r>
    <n v="8877689391"/>
    <d v="2016-04-01T00:00:00"/>
    <s v="Friday"/>
    <x v="0"/>
    <n v="18700"/>
    <n v="15.81999969"/>
    <n v="15.81999969"/>
    <n v="0"/>
    <n v="8.6999998089999995"/>
    <n v="0.15999999600000001"/>
    <n v="6.9099998469999999"/>
    <n v="0"/>
    <n v="67"/>
    <n v="3"/>
    <n v="247"/>
    <n v="1123"/>
    <n v="317"/>
    <n v="1440"/>
    <x v="0"/>
    <n v="3527"/>
  </r>
  <r>
    <n v="8877689391"/>
    <d v="2016-04-02T00:00:00"/>
    <s v="Saturday"/>
    <x v="1"/>
    <n v="27572"/>
    <n v="23.38999939"/>
    <n v="23.38999939"/>
    <n v="0"/>
    <n v="14.72000027"/>
    <n v="1.210000038"/>
    <n v="7.3400001530000001"/>
    <n v="0.01"/>
    <n v="116"/>
    <n v="24"/>
    <n v="260"/>
    <n v="1040"/>
    <n v="400"/>
    <n v="1440"/>
    <x v="0"/>
    <n v="4220"/>
  </r>
  <r>
    <n v="8877689391"/>
    <d v="2016-04-03T00:00:00"/>
    <s v="Sunday"/>
    <x v="1"/>
    <n v="15260"/>
    <n v="8.1899995800000003"/>
    <n v="8.1899995800000003"/>
    <n v="0"/>
    <n v="1.7999999520000001"/>
    <n v="0.75"/>
    <n v="5.5700001720000003"/>
    <n v="0"/>
    <n v="106"/>
    <n v="17"/>
    <n v="259"/>
    <n v="1058"/>
    <n v="382"/>
    <n v="1440"/>
    <x v="0"/>
    <n v="3864"/>
  </r>
  <r>
    <n v="8877689391"/>
    <d v="2016-04-04T00:00:00"/>
    <s v="Monday"/>
    <x v="0"/>
    <n v="20779"/>
    <n v="18.409999849999998"/>
    <n v="18.409999849999998"/>
    <n v="0"/>
    <n v="11.72999954"/>
    <n v="0.64999997600000003"/>
    <n v="6"/>
    <n v="0"/>
    <n v="78"/>
    <n v="16"/>
    <n v="208"/>
    <n v="1138"/>
    <n v="302"/>
    <n v="1440"/>
    <x v="0"/>
    <n v="3662"/>
  </r>
  <r>
    <n v="8877689391"/>
    <d v="2016-04-05T00:00:00"/>
    <s v="Tuesday"/>
    <x v="0"/>
    <n v="10695"/>
    <n v="8.1199998860000004"/>
    <n v="8.1199998860000004"/>
    <n v="0"/>
    <n v="0.769999981"/>
    <n v="0.18000000699999999"/>
    <n v="7.0900001530000001"/>
    <n v="0.01"/>
    <n v="10"/>
    <n v="3"/>
    <n v="246"/>
    <n v="1181"/>
    <n v="259"/>
    <n v="1440"/>
    <x v="0"/>
    <n v="2834"/>
  </r>
  <r>
    <n v="8877689391"/>
    <d v="2016-04-06T00:00:00"/>
    <s v="Wednesday"/>
    <x v="0"/>
    <n v="24136"/>
    <n v="20.909999849999998"/>
    <n v="20.909999849999998"/>
    <n v="0"/>
    <n v="12.22000027"/>
    <n v="0.540000021"/>
    <n v="8.0799999239999991"/>
    <n v="0"/>
    <n v="87"/>
    <n v="16"/>
    <n v="318"/>
    <n v="1019"/>
    <n v="421"/>
    <n v="1440"/>
    <x v="0"/>
    <n v="4039"/>
  </r>
  <r>
    <n v="8877689391"/>
    <d v="2016-04-07T00:00:00"/>
    <s v="Thursday"/>
    <x v="0"/>
    <n v="10910"/>
    <n v="8.4200000760000009"/>
    <n v="8.4200000760000009"/>
    <n v="0"/>
    <n v="2.960000038"/>
    <n v="0.38999998600000002"/>
    <n v="5.0300002099999999"/>
    <n v="0"/>
    <n v="32"/>
    <n v="11"/>
    <n v="212"/>
    <n v="1185"/>
    <n v="255"/>
    <n v="1440"/>
    <x v="0"/>
    <n v="2947"/>
  </r>
  <r>
    <n v="8877689391"/>
    <d v="2016-04-08T00:00:00"/>
    <s v="Friday"/>
    <x v="0"/>
    <n v="23014"/>
    <n v="20.38999939"/>
    <n v="20.38999939"/>
    <n v="0"/>
    <n v="11.100000380000001"/>
    <n v="0.62999999500000003"/>
    <n v="8.6199998860000004"/>
    <n v="0"/>
    <n v="70"/>
    <n v="29"/>
    <n v="359"/>
    <n v="982"/>
    <n v="458"/>
    <n v="1440"/>
    <x v="0"/>
    <n v="4196"/>
  </r>
  <r>
    <n v="8877689391"/>
    <d v="2016-04-09T00:00:00"/>
    <s v="Saturday"/>
    <x v="1"/>
    <n v="16470"/>
    <n v="8.0699996949999999"/>
    <n v="8.0699996949999999"/>
    <n v="0"/>
    <n v="0"/>
    <n v="0.02"/>
    <n v="8.0200004580000002"/>
    <n v="0"/>
    <n v="90"/>
    <n v="9"/>
    <n v="289"/>
    <n v="1052"/>
    <n v="388"/>
    <n v="1440"/>
    <x v="0"/>
    <n v="3841"/>
  </r>
  <r>
    <n v="8877689391"/>
    <d v="2016-04-10T00:00:00"/>
    <s v="Sunday"/>
    <x v="1"/>
    <n v="28497"/>
    <n v="27.530000690000001"/>
    <n v="27.530000690000001"/>
    <n v="0"/>
    <n v="21.920000080000001"/>
    <n v="1.1200000050000001"/>
    <n v="4.4600000380000004"/>
    <n v="0"/>
    <n v="128"/>
    <n v="46"/>
    <n v="211"/>
    <n v="1055"/>
    <n v="385"/>
    <n v="1440"/>
    <x v="0"/>
    <n v="4526"/>
  </r>
  <r>
    <n v="8877689391"/>
    <d v="2016-04-11T00:00:00"/>
    <s v="Monday"/>
    <x v="0"/>
    <n v="10622"/>
    <n v="8.0600004199999997"/>
    <n v="8.0600004199999997"/>
    <n v="0"/>
    <n v="1.4700000289999999"/>
    <n v="0.15000000599999999"/>
    <n v="6.3699998860000004"/>
    <n v="0.01"/>
    <n v="18"/>
    <n v="7"/>
    <n v="225"/>
    <n v="1190"/>
    <n v="250"/>
    <n v="1440"/>
    <x v="0"/>
    <n v="2820"/>
  </r>
  <r>
    <n v="8877689391"/>
    <d v="2016-04-13T00:00:00"/>
    <s v="Wednesday"/>
    <x v="0"/>
    <n v="15337"/>
    <n v="9.5799999239999991"/>
    <n v="9.5799999239999991"/>
    <n v="0"/>
    <n v="3.5499999519999998"/>
    <n v="0.37999999499999998"/>
    <n v="5.6399998660000001"/>
    <n v="0"/>
    <n v="108"/>
    <n v="18"/>
    <n v="216"/>
    <n v="1098"/>
    <n v="342"/>
    <n v="1440"/>
    <x v="0"/>
    <n v="3566"/>
  </r>
  <r>
    <n v="8877689391"/>
    <d v="2016-04-14T00:00:00"/>
    <s v="Thursday"/>
    <x v="0"/>
    <n v="21129"/>
    <n v="18.979999540000001"/>
    <n v="18.979999540000001"/>
    <n v="0"/>
    <n v="10.55000019"/>
    <n v="0.58999997400000004"/>
    <n v="7.75"/>
    <n v="0.02"/>
    <n v="68"/>
    <n v="13"/>
    <n v="298"/>
    <n v="1061"/>
    <n v="379"/>
    <n v="1440"/>
    <x v="0"/>
    <n v="3793"/>
  </r>
  <r>
    <n v="8877689391"/>
    <d v="2016-04-15T00:00:00"/>
    <s v="Friday"/>
    <x v="0"/>
    <n v="13422"/>
    <n v="7.170000076"/>
    <n v="7.170000076"/>
    <n v="0"/>
    <n v="5.0000001000000002E-2"/>
    <n v="5.0000001000000002E-2"/>
    <n v="7.0100002290000001"/>
    <n v="0.01"/>
    <n v="106"/>
    <n v="1"/>
    <n v="281"/>
    <n v="1052"/>
    <n v="388"/>
    <n v="1440"/>
    <x v="0"/>
    <n v="3934"/>
  </r>
  <r>
    <n v="8877689391"/>
    <d v="2016-04-16T00:00:00"/>
    <s v="Saturday"/>
    <x v="1"/>
    <n v="29326"/>
    <n v="25.290000920000001"/>
    <n v="25.290000920000001"/>
    <n v="0"/>
    <n v="13.239999770000001"/>
    <n v="1.210000038"/>
    <n v="10.710000040000001"/>
    <n v="0"/>
    <n v="94"/>
    <n v="29"/>
    <n v="429"/>
    <n v="888"/>
    <n v="552"/>
    <n v="1440"/>
    <x v="0"/>
    <n v="4547"/>
  </r>
  <r>
    <n v="8877689391"/>
    <d v="2016-04-17T00:00:00"/>
    <s v="Sunday"/>
    <x v="1"/>
    <n v="15118"/>
    <n v="8.8699998860000004"/>
    <n v="8.8699998860000004"/>
    <n v="0"/>
    <n v="0"/>
    <n v="7.0000000000000007E-2"/>
    <n v="8.7899999619999996"/>
    <n v="0"/>
    <n v="58"/>
    <n v="15"/>
    <n v="307"/>
    <n v="1060"/>
    <n v="380"/>
    <n v="1440"/>
    <x v="0"/>
    <n v="3545"/>
  </r>
  <r>
    <n v="8877689391"/>
    <d v="2016-04-18T00:00:00"/>
    <s v="Monday"/>
    <x v="0"/>
    <n v="11423"/>
    <n v="8.6700000760000009"/>
    <n v="8.6700000760000009"/>
    <n v="0"/>
    <n v="2.4400000569999998"/>
    <n v="0.27000001099999998"/>
    <n v="5.9400000569999998"/>
    <n v="0"/>
    <n v="29"/>
    <n v="5"/>
    <n v="191"/>
    <n v="1215"/>
    <n v="225"/>
    <n v="1440"/>
    <x v="0"/>
    <n v="2761"/>
  </r>
  <r>
    <n v="8877689391"/>
    <d v="2016-04-19T00:00:00"/>
    <s v="Tuesday"/>
    <x v="0"/>
    <n v="18785"/>
    <n v="17.399999619999999"/>
    <n v="17.399999619999999"/>
    <n v="0"/>
    <n v="12.149999619999999"/>
    <n v="0.18000000699999999"/>
    <n v="5.0300002099999999"/>
    <n v="0"/>
    <n v="82"/>
    <n v="13"/>
    <n v="214"/>
    <n v="1131"/>
    <n v="309"/>
    <n v="1440"/>
    <x v="0"/>
    <n v="3676"/>
  </r>
  <r>
    <n v="8877689391"/>
    <d v="2016-04-20T00:00:00"/>
    <s v="Wednesday"/>
    <x v="0"/>
    <n v="19948"/>
    <n v="18.11000061"/>
    <n v="18.11000061"/>
    <n v="0"/>
    <n v="11.02000046"/>
    <n v="0.689999998"/>
    <n v="6.3400001530000001"/>
    <n v="0"/>
    <n v="73"/>
    <n v="19"/>
    <n v="225"/>
    <n v="1123"/>
    <n v="317"/>
    <n v="1440"/>
    <x v="0"/>
    <n v="3679"/>
  </r>
  <r>
    <n v="8877689391"/>
    <d v="2016-04-21T00:00:00"/>
    <s v="Thursday"/>
    <x v="0"/>
    <n v="19377"/>
    <n v="17.620000839999999"/>
    <n v="17.620000839999999"/>
    <n v="0"/>
    <n v="12.289999959999999"/>
    <n v="0.41999998700000002"/>
    <n v="4.8899998660000001"/>
    <n v="0"/>
    <n v="82"/>
    <n v="13"/>
    <n v="226"/>
    <n v="1119"/>
    <n v="321"/>
    <n v="1440"/>
    <x v="0"/>
    <n v="3659"/>
  </r>
  <r>
    <n v="8877689391"/>
    <d v="2016-04-22T00:00:00"/>
    <s v="Friday"/>
    <x v="0"/>
    <n v="18258"/>
    <n v="16.309999470000001"/>
    <n v="16.309999470000001"/>
    <n v="0"/>
    <n v="10.22999954"/>
    <n v="2.9999998999999999E-2"/>
    <n v="5.9699997900000001"/>
    <n v="5.0000001000000002E-2"/>
    <n v="61"/>
    <n v="2"/>
    <n v="236"/>
    <n v="1141"/>
    <n v="299"/>
    <n v="1440"/>
    <x v="0"/>
    <n v="3427"/>
  </r>
  <r>
    <n v="8877689391"/>
    <d v="2016-04-23T00:00:00"/>
    <s v="Saturday"/>
    <x v="1"/>
    <n v="11200"/>
    <n v="7.4299998279999997"/>
    <n v="7.4299998279999997"/>
    <n v="0"/>
    <n v="0"/>
    <n v="0"/>
    <n v="7.4000000950000002"/>
    <n v="0.01"/>
    <n v="102"/>
    <n v="6"/>
    <n v="300"/>
    <n v="1032"/>
    <n v="408"/>
    <n v="1440"/>
    <x v="0"/>
    <n v="3891"/>
  </r>
  <r>
    <n v="8877689391"/>
    <d v="2016-04-24T00:00:00"/>
    <s v="Sunday"/>
    <x v="1"/>
    <n v="16674"/>
    <n v="15.739999770000001"/>
    <n v="15.739999770000001"/>
    <n v="0"/>
    <n v="11.010000229999999"/>
    <n v="0.01"/>
    <n v="4.6900000569999998"/>
    <n v="0"/>
    <n v="64"/>
    <n v="1"/>
    <n v="227"/>
    <n v="1148"/>
    <n v="292"/>
    <n v="1440"/>
    <x v="0"/>
    <n v="3455"/>
  </r>
  <r>
    <n v="8877689391"/>
    <d v="2016-04-25T00:00:00"/>
    <s v="Monday"/>
    <x v="0"/>
    <n v="12986"/>
    <n v="8.7399997710000008"/>
    <n v="8.7399997710000008"/>
    <n v="0"/>
    <n v="2.369999886"/>
    <n v="7.0000000000000007E-2"/>
    <n v="6.2699999809999998"/>
    <n v="0.01"/>
    <n v="113"/>
    <n v="8"/>
    <n v="218"/>
    <n v="1101"/>
    <n v="339"/>
    <n v="1440"/>
    <x v="0"/>
    <n v="3802"/>
  </r>
  <r>
    <n v="8877689391"/>
    <d v="2016-04-26T00:00:00"/>
    <s v="Tuesday"/>
    <x v="0"/>
    <n v="11101"/>
    <n v="8.4300003050000001"/>
    <n v="8.4300003050000001"/>
    <n v="0"/>
    <n v="1.7599999900000001"/>
    <n v="0.12999999500000001"/>
    <n v="6.5"/>
    <n v="0"/>
    <n v="22"/>
    <n v="3"/>
    <n v="258"/>
    <n v="1157"/>
    <n v="283"/>
    <n v="1440"/>
    <x v="0"/>
    <n v="2860"/>
  </r>
  <r>
    <n v="8877689391"/>
    <d v="2016-04-27T00:00:00"/>
    <s v="Wednesday"/>
    <x v="0"/>
    <n v="23629"/>
    <n v="20.649999619999999"/>
    <n v="20.649999619999999"/>
    <n v="0"/>
    <n v="13.06999969"/>
    <n v="0.439999998"/>
    <n v="7.0999999049999998"/>
    <n v="0"/>
    <n v="93"/>
    <n v="8"/>
    <n v="235"/>
    <n v="1104"/>
    <n v="336"/>
    <n v="1440"/>
    <x v="0"/>
    <n v="3808"/>
  </r>
  <r>
    <n v="8877689391"/>
    <d v="2016-04-28T00:00:00"/>
    <s v="Thursday"/>
    <x v="0"/>
    <n v="14890"/>
    <n v="11.30000019"/>
    <n v="11.30000019"/>
    <n v="0"/>
    <n v="4.9299998279999997"/>
    <n v="0.37999999499999998"/>
    <n v="5.9699997900000001"/>
    <n v="0"/>
    <n v="58"/>
    <n v="8"/>
    <n v="231"/>
    <n v="1143"/>
    <n v="297"/>
    <n v="1440"/>
    <x v="0"/>
    <n v="3060"/>
  </r>
  <r>
    <n v="8877689391"/>
    <d v="2016-04-29T00:00:00"/>
    <s v="Friday"/>
    <x v="0"/>
    <n v="9733"/>
    <n v="7.3899998660000001"/>
    <n v="7.3899998660000001"/>
    <n v="0"/>
    <n v="1.3799999949999999"/>
    <n v="0.17000000200000001"/>
    <n v="5.7899999619999996"/>
    <n v="0"/>
    <n v="18"/>
    <n v="5"/>
    <n v="210"/>
    <n v="1207"/>
    <n v="233"/>
    <n v="1440"/>
    <x v="1"/>
    <n v="2698"/>
  </r>
  <r>
    <n v="8877689391"/>
    <d v="2016-04-30T00:00:00"/>
    <s v="Saturday"/>
    <x v="1"/>
    <n v="27745"/>
    <n v="26.719999309999999"/>
    <n v="26.719999309999999"/>
    <n v="0"/>
    <n v="21.659999849999998"/>
    <n v="7.9999998000000003E-2"/>
    <n v="4.9299998279999997"/>
    <n v="0"/>
    <n v="124"/>
    <n v="4"/>
    <n v="223"/>
    <n v="1089"/>
    <n v="351"/>
    <n v="1440"/>
    <x v="0"/>
    <n v="4398"/>
  </r>
  <r>
    <n v="8877689391"/>
    <d v="2016-05-01T00:00:00"/>
    <s v="Sunday"/>
    <x v="1"/>
    <n v="10930"/>
    <n v="8.3199996949999999"/>
    <n v="8.3199996949999999"/>
    <n v="0"/>
    <n v="3.130000114"/>
    <n v="0.56999999300000004"/>
    <n v="4.5700001720000003"/>
    <n v="0"/>
    <n v="36"/>
    <n v="12"/>
    <n v="166"/>
    <n v="1226"/>
    <n v="214"/>
    <n v="1440"/>
    <x v="0"/>
    <n v="2786"/>
  </r>
  <r>
    <n v="8877689391"/>
    <d v="2016-05-02T00:00:00"/>
    <s v="Monday"/>
    <x v="0"/>
    <n v="4790"/>
    <n v="3.6400001049999999"/>
    <n v="3.6400001049999999"/>
    <n v="0"/>
    <n v="0"/>
    <n v="0"/>
    <n v="3.5599999430000002"/>
    <n v="0"/>
    <n v="0"/>
    <n v="0"/>
    <n v="105"/>
    <n v="1335"/>
    <n v="105"/>
    <n v="1440"/>
    <x v="2"/>
    <n v="2189"/>
  </r>
  <r>
    <n v="8877689391"/>
    <d v="2016-05-03T00:00:00"/>
    <s v="Tuesday"/>
    <x v="0"/>
    <n v="10818"/>
    <n v="8.2100000380000004"/>
    <n v="8.2100000380000004"/>
    <n v="0"/>
    <n v="1.3899999860000001"/>
    <n v="0.10000000100000001"/>
    <n v="6.670000076"/>
    <n v="0.01"/>
    <n v="19"/>
    <n v="3"/>
    <n v="229"/>
    <n v="1189"/>
    <n v="251"/>
    <n v="1440"/>
    <x v="0"/>
    <n v="2817"/>
  </r>
  <r>
    <n v="8877689391"/>
    <d v="2016-05-04T00:00:00"/>
    <s v="Wednesday"/>
    <x v="0"/>
    <n v="18193"/>
    <n v="16.299999239999998"/>
    <n v="16.299999239999998"/>
    <n v="0"/>
    <n v="10.420000079999999"/>
    <n v="0.310000002"/>
    <n v="5.5300002099999999"/>
    <n v="0"/>
    <n v="66"/>
    <n v="8"/>
    <n v="212"/>
    <n v="1154"/>
    <n v="286"/>
    <n v="1440"/>
    <x v="0"/>
    <n v="3477"/>
  </r>
  <r>
    <n v="8877689391"/>
    <d v="2016-05-05T00:00:00"/>
    <s v="Thursday"/>
    <x v="0"/>
    <n v="14055"/>
    <n v="10.670000079999999"/>
    <n v="10.670000079999999"/>
    <n v="0"/>
    <n v="5.4600000380000004"/>
    <n v="0.81999999300000004"/>
    <n v="4.3699998860000004"/>
    <n v="0"/>
    <n v="67"/>
    <n v="15"/>
    <n v="188"/>
    <n v="1170"/>
    <n v="270"/>
    <n v="1440"/>
    <x v="0"/>
    <n v="3052"/>
  </r>
  <r>
    <n v="8877689391"/>
    <d v="2016-05-06T00:00:00"/>
    <s v="Friday"/>
    <x v="0"/>
    <n v="21727"/>
    <n v="19.340000150000002"/>
    <n v="19.340000150000002"/>
    <n v="0"/>
    <n v="12.789999959999999"/>
    <n v="0.28999999199999998"/>
    <n v="6.1599998469999999"/>
    <n v="0"/>
    <n v="96"/>
    <n v="17"/>
    <n v="232"/>
    <n v="1095"/>
    <n v="345"/>
    <n v="1440"/>
    <x v="0"/>
    <n v="4015"/>
  </r>
  <r>
    <n v="8877689391"/>
    <d v="2016-05-07T00:00:00"/>
    <s v="Saturday"/>
    <x v="1"/>
    <n v="12332"/>
    <n v="8.1300001139999996"/>
    <n v="8.1300001139999996"/>
    <n v="0"/>
    <n v="7.9999998000000003E-2"/>
    <n v="0.959999979"/>
    <n v="6.9899997709999999"/>
    <n v="0"/>
    <n v="105"/>
    <n v="28"/>
    <n v="271"/>
    <n v="1036"/>
    <n v="404"/>
    <n v="1440"/>
    <x v="0"/>
    <n v="4142"/>
  </r>
  <r>
    <n v="8877689391"/>
    <d v="2016-05-08T00:00:00"/>
    <s v="Sunday"/>
    <x v="1"/>
    <n v="10686"/>
    <n v="8.1099996569999995"/>
    <n v="8.1099996569999995"/>
    <n v="0"/>
    <n v="1.0800000430000001"/>
    <n v="0.20000000300000001"/>
    <n v="6.8000001909999996"/>
    <n v="0"/>
    <n v="17"/>
    <n v="4"/>
    <n v="245"/>
    <n v="1174"/>
    <n v="266"/>
    <n v="1440"/>
    <x v="0"/>
    <n v="2847"/>
  </r>
  <r>
    <n v="8877689391"/>
    <d v="2016-05-09T00:00:00"/>
    <s v="Monday"/>
    <x v="0"/>
    <n v="20226"/>
    <n v="18.25"/>
    <n v="18.25"/>
    <n v="0"/>
    <n v="11.100000380000001"/>
    <n v="0.80000001200000004"/>
    <n v="6.2399997709999999"/>
    <n v="5.0000001000000002E-2"/>
    <n v="73"/>
    <n v="19"/>
    <n v="217"/>
    <n v="1131"/>
    <n v="309"/>
    <n v="1440"/>
    <x v="0"/>
    <n v="3710"/>
  </r>
  <r>
    <n v="8877689391"/>
    <d v="2016-05-10T00:00:00"/>
    <s v="Tuesday"/>
    <x v="0"/>
    <n v="10733"/>
    <n v="8.1499996190000008"/>
    <n v="8.1499996190000008"/>
    <n v="0"/>
    <n v="1.3500000240000001"/>
    <n v="0.46000000800000002"/>
    <n v="6.2800002099999999"/>
    <n v="0"/>
    <n v="18"/>
    <n v="11"/>
    <n v="224"/>
    <n v="1187"/>
    <n v="253"/>
    <n v="1440"/>
    <x v="0"/>
    <n v="2832"/>
  </r>
  <r>
    <n v="8877689391"/>
    <d v="2016-05-11T00:00:00"/>
    <s v="Wednesday"/>
    <x v="0"/>
    <n v="21420"/>
    <n v="19.559999470000001"/>
    <n v="19.559999470000001"/>
    <n v="0"/>
    <n v="13.22000027"/>
    <n v="0.40999999599999998"/>
    <n v="5.8899998660000001"/>
    <n v="0"/>
    <n v="88"/>
    <n v="12"/>
    <n v="213"/>
    <n v="1127"/>
    <n v="313"/>
    <n v="1440"/>
    <x v="0"/>
    <n v="3832"/>
  </r>
  <r>
    <n v="8877689391"/>
    <d v="2016-05-12T00:00:00"/>
    <s v="Thursday"/>
    <x v="0"/>
    <n v="8064"/>
    <n v="6.1199998860000004"/>
    <n v="6.1199998860000004"/>
    <n v="0"/>
    <n v="1.8200000519999999"/>
    <n v="3.9999999000000001E-2"/>
    <n v="4.25"/>
    <n v="0"/>
    <n v="23"/>
    <n v="1"/>
    <n v="137"/>
    <n v="770"/>
    <n v="161"/>
    <n v="931"/>
    <x v="1"/>
    <n v="18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F5F88E-E0B4-4F83-AA80-82C0DFA1525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4" firstHeaderRow="0" firstDataRow="1" firstDataCol="0"/>
  <pivotFields count="20"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dataField="1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TotalSteps" fld="4" subtotal="average" baseField="0" baseItem="1" numFmtId="2"/>
    <dataField name="Average of Calories" fld="19" subtotal="average" baseField="0" baseItem="1"/>
    <dataField name="Average of TotalActivityMinutes" fld="16" subtotal="average" baseField="0" baseItem="1"/>
    <dataField name="Average of SedentaryMinutes" fld="15" subtotal="average" baseField="0" baseItem="1"/>
  </dataFields>
  <formats count="2">
    <format dxfId="8">
      <pivotArea outline="0" collapsedLevelsAreSubtotals="1" fieldPosition="0"/>
    </format>
    <format dxfId="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D67C52-98A1-48DC-862A-F963054CB00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C8" firstHeaderRow="0" firstDataRow="1" firstDataCol="1"/>
  <pivotFields count="20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5">
        <item x="2"/>
        <item x="3"/>
        <item x="1"/>
        <item x="0"/>
        <item t="default"/>
      </items>
    </pivotField>
    <pivotField dataField="1" showAll="0"/>
  </pivotFields>
  <rowFields count="1">
    <field x="18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alories" fld="19" subtotal="average" baseField="18" baseItem="0"/>
    <dataField name="Average of TotalActivityMinutes" fld="16" subtotal="average" baseField="18" baseItem="0"/>
  </dataFields>
  <formats count="4">
    <format dxfId="6">
      <pivotArea collapsedLevelsAreSubtotals="1" fieldPosition="0">
        <references count="1">
          <reference field="18" count="0"/>
        </references>
      </pivotArea>
    </format>
    <format dxfId="5">
      <pivotArea collapsedLevelsAreSubtotals="1" fieldPosition="0">
        <references count="2">
          <reference field="4294967294" count="1" selected="0">
            <x v="0"/>
          </reference>
          <reference field="18" count="0"/>
        </references>
      </pivotArea>
    </format>
    <format dxfId="4">
      <pivotArea grandRow="1" outline="0" collapsedLevelsAreSubtotals="1" fieldPosition="0"/>
    </format>
    <format dxfId="3">
      <pivotArea field="18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A8FA17-26A8-466B-B5D3-B0A2313EAF7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8" firstHeaderRow="1" firstDataRow="1" firstDataCol="1"/>
  <pivotFields count="20">
    <pivotField dataFiel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</pivotFields>
  <rowFields count="1">
    <field x="1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Id" fld="0" subtotal="count" baseField="18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E2D86-EF2B-42C2-A123-BBB49E9B63E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A3:D6" firstHeaderRow="0" firstDataRow="1" firstDataCol="1"/>
  <pivotFields count="20">
    <pivotField showAll="0"/>
    <pivotField numFmtId="164" showAll="0"/>
    <pivotField showAll="0"/>
    <pivotField axis="axisRow" showAll="0">
      <items count="3">
        <item x="1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TotalSteps" fld="4" subtotal="average" baseField="3" baseItem="0" numFmtId="1"/>
    <dataField name="Average of TotalActivityMinutes" fld="16" subtotal="average" baseField="3" baseItem="0"/>
    <dataField name="Average of SedentaryMinutes" fld="15" subtotal="average" baseField="3" baseItem="0"/>
  </dataFields>
  <formats count="2">
    <format dxfId="2">
      <pivotArea outline="0" collapsedLevelsAreSubtotals="1" fieldPosition="0"/>
    </format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8BB5F-F894-4C01-9F43-72078AA084A5}">
  <dimension ref="A1:T1166"/>
  <sheetViews>
    <sheetView topLeftCell="G1" workbookViewId="0">
      <selection activeCell="J32" sqref="J32"/>
    </sheetView>
  </sheetViews>
  <sheetFormatPr defaultRowHeight="15" x14ac:dyDescent="0.25"/>
  <cols>
    <col min="1" max="1" width="11" bestFit="1" customWidth="1"/>
    <col min="2" max="2" width="12" bestFit="1" customWidth="1"/>
    <col min="3" max="3" width="13.5703125" bestFit="1" customWidth="1"/>
    <col min="4" max="4" width="12" bestFit="1" customWidth="1"/>
    <col min="5" max="5" width="13.5703125" bestFit="1" customWidth="1"/>
    <col min="6" max="6" width="15.7109375" bestFit="1" customWidth="1"/>
    <col min="7" max="7" width="24.28515625" bestFit="1" customWidth="1"/>
    <col min="8" max="8" width="18.85546875" bestFit="1" customWidth="1"/>
    <col min="9" max="9" width="25.140625" bestFit="1" customWidth="1"/>
    <col min="10" max="10" width="19.28515625" bestFit="1" customWidth="1"/>
    <col min="11" max="11" width="24.140625" bestFit="1" customWidth="1"/>
    <col min="12" max="12" width="18.140625" bestFit="1" customWidth="1"/>
    <col min="13" max="13" width="19" bestFit="1" customWidth="1"/>
    <col min="14" max="14" width="20.140625" bestFit="1" customWidth="1"/>
    <col min="15" max="15" width="17.7109375" bestFit="1" customWidth="1"/>
    <col min="16" max="16" width="19.7109375" bestFit="1" customWidth="1"/>
    <col min="17" max="18" width="17.7109375" bestFit="1" customWidth="1"/>
    <col min="19" max="19" width="17.7109375" customWidth="1"/>
  </cols>
  <sheetData>
    <row r="1" spans="1:20" x14ac:dyDescent="0.25">
      <c r="A1" s="1" t="s">
        <v>0</v>
      </c>
      <c r="B1" s="1" t="s">
        <v>1</v>
      </c>
      <c r="C1" s="1" t="s">
        <v>17</v>
      </c>
      <c r="D1" s="1" t="s">
        <v>18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15</v>
      </c>
      <c r="R1" s="1" t="s">
        <v>16</v>
      </c>
      <c r="S1" s="1" t="s">
        <v>19</v>
      </c>
      <c r="T1" s="1" t="s">
        <v>14</v>
      </c>
    </row>
    <row r="2" spans="1:20" x14ac:dyDescent="0.25">
      <c r="A2" s="2">
        <v>1503960366</v>
      </c>
      <c r="B2" s="3">
        <v>42454</v>
      </c>
      <c r="C2" t="str">
        <f>CHOOSE(WEEKDAY(B2), "Sunday", "Monday", "Tuesday", "Wednesday", "Thursday", "Friday", "Saturday")</f>
        <v>Friday</v>
      </c>
      <c r="D2" t="str">
        <f>IF(OR(C2="Saturday", C2="Sunday"), "Weekend", "Weekday")</f>
        <v>Weekday</v>
      </c>
      <c r="E2" s="2">
        <v>11004</v>
      </c>
      <c r="F2" s="2">
        <v>7.1100001339999999</v>
      </c>
      <c r="G2" s="2">
        <v>7.1100001339999999</v>
      </c>
      <c r="H2" s="2">
        <v>0</v>
      </c>
      <c r="I2" s="2">
        <v>2.5699999330000001</v>
      </c>
      <c r="J2" s="2">
        <v>0.46000000800000002</v>
      </c>
      <c r="K2" s="2">
        <v>4.0700001720000003</v>
      </c>
      <c r="L2" s="2">
        <v>0</v>
      </c>
      <c r="M2" s="2">
        <v>33</v>
      </c>
      <c r="N2" s="2">
        <v>12</v>
      </c>
      <c r="O2" s="2">
        <v>205</v>
      </c>
      <c r="P2" s="2">
        <v>804</v>
      </c>
      <c r="Q2" s="2">
        <f>SUM(M2:O2)</f>
        <v>250</v>
      </c>
      <c r="R2" s="2">
        <f>SUM(M2:P2)</f>
        <v>1054</v>
      </c>
      <c r="S2" t="str">
        <f>IF(E2&lt;5000, "Sedentary", IF(E2&lt;7500, "Lightly Active", IF(E2&lt;10000, "Fairly Active", "Highly Active")))</f>
        <v>Highly Active</v>
      </c>
      <c r="T2" s="2">
        <v>1819</v>
      </c>
    </row>
    <row r="3" spans="1:20" x14ac:dyDescent="0.25">
      <c r="A3" s="2">
        <v>1503960366</v>
      </c>
      <c r="B3" s="3">
        <v>42455</v>
      </c>
      <c r="C3" t="str">
        <f t="shared" ref="C3:C66" si="0">CHOOSE(WEEKDAY(B3), "Sunday", "Monday", "Tuesday", "Wednesday", "Thursday", "Friday", "Saturday")</f>
        <v>Saturday</v>
      </c>
      <c r="D3" t="str">
        <f t="shared" ref="D3:D66" si="1">IF(OR(C3="Saturday", C3="Sunday"), "Weekend", "Weekday")</f>
        <v>Weekend</v>
      </c>
      <c r="E3" s="2">
        <v>17609</v>
      </c>
      <c r="F3" s="2">
        <v>11.55000019</v>
      </c>
      <c r="G3" s="2">
        <v>11.55000019</v>
      </c>
      <c r="H3" s="2">
        <v>0</v>
      </c>
      <c r="I3" s="2">
        <v>6.920000076</v>
      </c>
      <c r="J3" s="2">
        <v>0.730000019</v>
      </c>
      <c r="K3" s="2">
        <v>3.9100000860000002</v>
      </c>
      <c r="L3" s="2">
        <v>0</v>
      </c>
      <c r="M3" s="2">
        <v>89</v>
      </c>
      <c r="N3" s="2">
        <v>17</v>
      </c>
      <c r="O3" s="2">
        <v>274</v>
      </c>
      <c r="P3" s="2">
        <v>588</v>
      </c>
      <c r="Q3" s="2">
        <f t="shared" ref="Q3:Q66" si="2">SUM(M3:O3)</f>
        <v>380</v>
      </c>
      <c r="R3" s="2">
        <f t="shared" ref="R3:R65" si="3">SUM(M3:P3)</f>
        <v>968</v>
      </c>
      <c r="S3" t="str">
        <f t="shared" ref="S3:S66" si="4">IF(E3&lt;5000, "Sedentary", IF(E3&lt;7500, "Lightly Active", IF(E3&lt;10000, "Fairly Active", "Highly Active")))</f>
        <v>Highly Active</v>
      </c>
      <c r="T3" s="2">
        <v>2154</v>
      </c>
    </row>
    <row r="4" spans="1:20" x14ac:dyDescent="0.25">
      <c r="A4" s="2">
        <v>1503960366</v>
      </c>
      <c r="B4" s="3">
        <v>42456</v>
      </c>
      <c r="C4" t="str">
        <f t="shared" si="0"/>
        <v>Sunday</v>
      </c>
      <c r="D4" t="str">
        <f t="shared" si="1"/>
        <v>Weekend</v>
      </c>
      <c r="E4" s="2">
        <v>12736</v>
      </c>
      <c r="F4" s="2">
        <v>8.5299997330000004</v>
      </c>
      <c r="G4" s="2">
        <v>8.5299997330000004</v>
      </c>
      <c r="H4" s="2">
        <v>0</v>
      </c>
      <c r="I4" s="2">
        <v>4.6599998469999999</v>
      </c>
      <c r="J4" s="2">
        <v>0.15999999600000001</v>
      </c>
      <c r="K4" s="2">
        <v>3.710000038</v>
      </c>
      <c r="L4" s="2">
        <v>0</v>
      </c>
      <c r="M4" s="2">
        <v>56</v>
      </c>
      <c r="N4" s="2">
        <v>5</v>
      </c>
      <c r="O4" s="2">
        <v>268</v>
      </c>
      <c r="P4" s="2">
        <v>605</v>
      </c>
      <c r="Q4" s="2">
        <f t="shared" si="2"/>
        <v>329</v>
      </c>
      <c r="R4" s="2">
        <f t="shared" si="3"/>
        <v>934</v>
      </c>
      <c r="S4" t="str">
        <f t="shared" si="4"/>
        <v>Highly Active</v>
      </c>
      <c r="T4" s="2">
        <v>1944</v>
      </c>
    </row>
    <row r="5" spans="1:20" x14ac:dyDescent="0.25">
      <c r="A5" s="2">
        <v>1503960366</v>
      </c>
      <c r="B5" s="3">
        <v>42457</v>
      </c>
      <c r="C5" t="str">
        <f t="shared" si="0"/>
        <v>Monday</v>
      </c>
      <c r="D5" t="str">
        <f t="shared" si="1"/>
        <v>Weekday</v>
      </c>
      <c r="E5" s="2">
        <v>13231</v>
      </c>
      <c r="F5" s="2">
        <v>8.9300003050000001</v>
      </c>
      <c r="G5" s="2">
        <v>8.9300003050000001</v>
      </c>
      <c r="H5" s="2">
        <v>0</v>
      </c>
      <c r="I5" s="2">
        <v>3.1900000569999998</v>
      </c>
      <c r="J5" s="2">
        <v>0.790000021</v>
      </c>
      <c r="K5" s="2">
        <v>4.9499998090000004</v>
      </c>
      <c r="L5" s="2">
        <v>0</v>
      </c>
      <c r="M5" s="2">
        <v>39</v>
      </c>
      <c r="N5" s="2">
        <v>20</v>
      </c>
      <c r="O5" s="2">
        <v>224</v>
      </c>
      <c r="P5" s="2">
        <v>1080</v>
      </c>
      <c r="Q5" s="2">
        <f t="shared" si="2"/>
        <v>283</v>
      </c>
      <c r="R5" s="2">
        <f t="shared" si="3"/>
        <v>1363</v>
      </c>
      <c r="S5" t="str">
        <f t="shared" si="4"/>
        <v>Highly Active</v>
      </c>
      <c r="T5" s="2">
        <v>1932</v>
      </c>
    </row>
    <row r="6" spans="1:20" x14ac:dyDescent="0.25">
      <c r="A6" s="2">
        <v>1503960366</v>
      </c>
      <c r="B6" s="3">
        <v>42458</v>
      </c>
      <c r="C6" t="str">
        <f t="shared" si="0"/>
        <v>Tuesday</v>
      </c>
      <c r="D6" t="str">
        <f t="shared" si="1"/>
        <v>Weekday</v>
      </c>
      <c r="E6" s="2">
        <v>12041</v>
      </c>
      <c r="F6" s="2">
        <v>7.8499999049999998</v>
      </c>
      <c r="G6" s="2">
        <v>7.8499999049999998</v>
      </c>
      <c r="H6" s="2">
        <v>0</v>
      </c>
      <c r="I6" s="2">
        <v>2.1600000860000002</v>
      </c>
      <c r="J6" s="2">
        <v>1.0900000329999999</v>
      </c>
      <c r="K6" s="2">
        <v>4.6100001339999999</v>
      </c>
      <c r="L6" s="2">
        <v>0</v>
      </c>
      <c r="M6" s="2">
        <v>28</v>
      </c>
      <c r="N6" s="2">
        <v>28</v>
      </c>
      <c r="O6" s="2">
        <v>243</v>
      </c>
      <c r="P6" s="2">
        <v>763</v>
      </c>
      <c r="Q6" s="2">
        <f t="shared" si="2"/>
        <v>299</v>
      </c>
      <c r="R6" s="2">
        <f t="shared" si="3"/>
        <v>1062</v>
      </c>
      <c r="S6" t="str">
        <f t="shared" si="4"/>
        <v>Highly Active</v>
      </c>
      <c r="T6" s="2">
        <v>1886</v>
      </c>
    </row>
    <row r="7" spans="1:20" x14ac:dyDescent="0.25">
      <c r="A7" s="2">
        <v>1503960366</v>
      </c>
      <c r="B7" s="3">
        <v>42459</v>
      </c>
      <c r="C7" t="str">
        <f t="shared" si="0"/>
        <v>Wednesday</v>
      </c>
      <c r="D7" t="str">
        <f t="shared" si="1"/>
        <v>Weekday</v>
      </c>
      <c r="E7" s="2">
        <v>10970</v>
      </c>
      <c r="F7" s="2">
        <v>7.1599998469999999</v>
      </c>
      <c r="G7" s="2">
        <v>7.1599998469999999</v>
      </c>
      <c r="H7" s="2">
        <v>0</v>
      </c>
      <c r="I7" s="2">
        <v>2.3599998950000001</v>
      </c>
      <c r="J7" s="2">
        <v>0.50999998999999996</v>
      </c>
      <c r="K7" s="2">
        <v>4.2899999619999996</v>
      </c>
      <c r="L7" s="2">
        <v>0</v>
      </c>
      <c r="M7" s="2">
        <v>30</v>
      </c>
      <c r="N7" s="2">
        <v>13</v>
      </c>
      <c r="O7" s="2">
        <v>223</v>
      </c>
      <c r="P7" s="2">
        <v>1174</v>
      </c>
      <c r="Q7" s="2">
        <f t="shared" si="2"/>
        <v>266</v>
      </c>
      <c r="R7" s="2">
        <f t="shared" si="3"/>
        <v>1440</v>
      </c>
      <c r="S7" t="str">
        <f t="shared" si="4"/>
        <v>Highly Active</v>
      </c>
      <c r="T7" s="2">
        <v>1820</v>
      </c>
    </row>
    <row r="8" spans="1:20" x14ac:dyDescent="0.25">
      <c r="A8" s="2">
        <v>1503960366</v>
      </c>
      <c r="B8" s="3">
        <v>42460</v>
      </c>
      <c r="C8" t="str">
        <f t="shared" si="0"/>
        <v>Thursday</v>
      </c>
      <c r="D8" t="str">
        <f t="shared" si="1"/>
        <v>Weekday</v>
      </c>
      <c r="E8" s="2">
        <v>12256</v>
      </c>
      <c r="F8" s="2">
        <v>7.8600001339999999</v>
      </c>
      <c r="G8" s="2">
        <v>7.8600001339999999</v>
      </c>
      <c r="H8" s="2">
        <v>0</v>
      </c>
      <c r="I8" s="2">
        <v>2.289999962</v>
      </c>
      <c r="J8" s="2">
        <v>0.49000000999999999</v>
      </c>
      <c r="K8" s="2">
        <v>5.0399999619999996</v>
      </c>
      <c r="L8" s="2">
        <v>0</v>
      </c>
      <c r="M8" s="2">
        <v>33</v>
      </c>
      <c r="N8" s="2">
        <v>12</v>
      </c>
      <c r="O8" s="2">
        <v>239</v>
      </c>
      <c r="P8" s="2">
        <v>820</v>
      </c>
      <c r="Q8" s="2">
        <f t="shared" si="2"/>
        <v>284</v>
      </c>
      <c r="R8" s="2">
        <f t="shared" si="3"/>
        <v>1104</v>
      </c>
      <c r="S8" t="str">
        <f t="shared" si="4"/>
        <v>Highly Active</v>
      </c>
      <c r="T8" s="2">
        <v>1889</v>
      </c>
    </row>
    <row r="9" spans="1:20" x14ac:dyDescent="0.25">
      <c r="A9" s="2">
        <v>1503960366</v>
      </c>
      <c r="B9" s="3">
        <v>42461</v>
      </c>
      <c r="C9" t="str">
        <f t="shared" si="0"/>
        <v>Friday</v>
      </c>
      <c r="D9" t="str">
        <f t="shared" si="1"/>
        <v>Weekday</v>
      </c>
      <c r="E9" s="2">
        <v>12262</v>
      </c>
      <c r="F9" s="2">
        <v>7.8699998860000004</v>
      </c>
      <c r="G9" s="2">
        <v>7.8699998860000004</v>
      </c>
      <c r="H9" s="2">
        <v>0</v>
      </c>
      <c r="I9" s="2">
        <v>3.3199999330000001</v>
      </c>
      <c r="J9" s="2">
        <v>0.829999983</v>
      </c>
      <c r="K9" s="2">
        <v>3.6400001049999999</v>
      </c>
      <c r="L9" s="2">
        <v>0</v>
      </c>
      <c r="M9" s="2">
        <v>47</v>
      </c>
      <c r="N9" s="2">
        <v>21</v>
      </c>
      <c r="O9" s="2">
        <v>200</v>
      </c>
      <c r="P9" s="2">
        <v>866</v>
      </c>
      <c r="Q9" s="2">
        <f t="shared" si="2"/>
        <v>268</v>
      </c>
      <c r="R9" s="2">
        <f t="shared" si="3"/>
        <v>1134</v>
      </c>
      <c r="S9" t="str">
        <f t="shared" si="4"/>
        <v>Highly Active</v>
      </c>
      <c r="T9" s="2">
        <v>1868</v>
      </c>
    </row>
    <row r="10" spans="1:20" x14ac:dyDescent="0.25">
      <c r="A10" s="2">
        <v>1503960366</v>
      </c>
      <c r="B10" s="3">
        <v>42462</v>
      </c>
      <c r="C10" t="str">
        <f t="shared" si="0"/>
        <v>Saturday</v>
      </c>
      <c r="D10" t="str">
        <f t="shared" si="1"/>
        <v>Weekend</v>
      </c>
      <c r="E10" s="2">
        <v>11248</v>
      </c>
      <c r="F10" s="2">
        <v>7.25</v>
      </c>
      <c r="G10" s="2">
        <v>7.25</v>
      </c>
      <c r="H10" s="2">
        <v>0</v>
      </c>
      <c r="I10" s="2">
        <v>3</v>
      </c>
      <c r="J10" s="2">
        <v>0.44999998800000002</v>
      </c>
      <c r="K10" s="2">
        <v>3.7400000100000002</v>
      </c>
      <c r="L10" s="2">
        <v>0</v>
      </c>
      <c r="M10" s="2">
        <v>40</v>
      </c>
      <c r="N10" s="2">
        <v>11</v>
      </c>
      <c r="O10" s="2">
        <v>244</v>
      </c>
      <c r="P10" s="2">
        <v>636</v>
      </c>
      <c r="Q10" s="2">
        <f t="shared" si="2"/>
        <v>295</v>
      </c>
      <c r="R10" s="2">
        <f t="shared" si="3"/>
        <v>931</v>
      </c>
      <c r="S10" t="str">
        <f t="shared" si="4"/>
        <v>Highly Active</v>
      </c>
      <c r="T10" s="2">
        <v>1843</v>
      </c>
    </row>
    <row r="11" spans="1:20" x14ac:dyDescent="0.25">
      <c r="A11" s="2">
        <v>1503960366</v>
      </c>
      <c r="B11" s="3">
        <v>42463</v>
      </c>
      <c r="C11" t="str">
        <f t="shared" si="0"/>
        <v>Sunday</v>
      </c>
      <c r="D11" t="str">
        <f t="shared" si="1"/>
        <v>Weekend</v>
      </c>
      <c r="E11" s="2">
        <v>10016</v>
      </c>
      <c r="F11" s="2">
        <v>6.3699998860000004</v>
      </c>
      <c r="G11" s="2">
        <v>6.3699998860000004</v>
      </c>
      <c r="H11" s="2">
        <v>0</v>
      </c>
      <c r="I11" s="2">
        <v>0.91000002599999996</v>
      </c>
      <c r="J11" s="2">
        <v>1.2799999710000001</v>
      </c>
      <c r="K11" s="2">
        <v>4.1799998279999997</v>
      </c>
      <c r="L11" s="2">
        <v>0</v>
      </c>
      <c r="M11" s="2">
        <v>15</v>
      </c>
      <c r="N11" s="2">
        <v>30</v>
      </c>
      <c r="O11" s="2">
        <v>314</v>
      </c>
      <c r="P11" s="2">
        <v>655</v>
      </c>
      <c r="Q11" s="2">
        <f t="shared" si="2"/>
        <v>359</v>
      </c>
      <c r="R11" s="2">
        <f t="shared" si="3"/>
        <v>1014</v>
      </c>
      <c r="S11" t="str">
        <f t="shared" si="4"/>
        <v>Highly Active</v>
      </c>
      <c r="T11" s="2">
        <v>1850</v>
      </c>
    </row>
    <row r="12" spans="1:20" x14ac:dyDescent="0.25">
      <c r="A12" s="2">
        <v>1503960366</v>
      </c>
      <c r="B12" s="3">
        <v>42464</v>
      </c>
      <c r="C12" t="str">
        <f t="shared" si="0"/>
        <v>Monday</v>
      </c>
      <c r="D12" t="str">
        <f t="shared" si="1"/>
        <v>Weekday</v>
      </c>
      <c r="E12" s="2">
        <v>14557</v>
      </c>
      <c r="F12" s="2">
        <v>9.8000001910000005</v>
      </c>
      <c r="G12" s="2">
        <v>9.8000001910000005</v>
      </c>
      <c r="H12" s="2">
        <v>0</v>
      </c>
      <c r="I12" s="2">
        <v>3.3900001049999999</v>
      </c>
      <c r="J12" s="2">
        <v>0.69999998799999996</v>
      </c>
      <c r="K12" s="2">
        <v>5.6900000569999998</v>
      </c>
      <c r="L12" s="2">
        <v>0</v>
      </c>
      <c r="M12" s="2">
        <v>43</v>
      </c>
      <c r="N12" s="2">
        <v>18</v>
      </c>
      <c r="O12" s="2">
        <v>285</v>
      </c>
      <c r="P12" s="2">
        <v>757</v>
      </c>
      <c r="Q12" s="2">
        <f t="shared" si="2"/>
        <v>346</v>
      </c>
      <c r="R12" s="2">
        <f t="shared" si="3"/>
        <v>1103</v>
      </c>
      <c r="S12" t="str">
        <f t="shared" si="4"/>
        <v>Highly Active</v>
      </c>
      <c r="T12" s="2">
        <v>2030</v>
      </c>
    </row>
    <row r="13" spans="1:20" x14ac:dyDescent="0.25">
      <c r="A13" s="2">
        <v>1503960366</v>
      </c>
      <c r="B13" s="3">
        <v>42465</v>
      </c>
      <c r="C13" t="str">
        <f t="shared" si="0"/>
        <v>Tuesday</v>
      </c>
      <c r="D13" t="str">
        <f t="shared" si="1"/>
        <v>Weekday</v>
      </c>
      <c r="E13" s="2">
        <v>14844</v>
      </c>
      <c r="F13" s="2">
        <v>9.7299995419999998</v>
      </c>
      <c r="G13" s="2">
        <v>9.7299995419999998</v>
      </c>
      <c r="H13" s="2">
        <v>0</v>
      </c>
      <c r="I13" s="2">
        <v>2.9400000569999998</v>
      </c>
      <c r="J13" s="2">
        <v>0.75999998999999996</v>
      </c>
      <c r="K13" s="2">
        <v>6.0399999619999996</v>
      </c>
      <c r="L13" s="2">
        <v>0</v>
      </c>
      <c r="M13" s="2">
        <v>36</v>
      </c>
      <c r="N13" s="2">
        <v>18</v>
      </c>
      <c r="O13" s="2">
        <v>341</v>
      </c>
      <c r="P13" s="2">
        <v>736</v>
      </c>
      <c r="Q13" s="2">
        <f t="shared" si="2"/>
        <v>395</v>
      </c>
      <c r="R13" s="2">
        <f t="shared" si="3"/>
        <v>1131</v>
      </c>
      <c r="S13" t="str">
        <f t="shared" si="4"/>
        <v>Highly Active</v>
      </c>
      <c r="T13" s="2">
        <v>2083</v>
      </c>
    </row>
    <row r="14" spans="1:20" x14ac:dyDescent="0.25">
      <c r="A14" s="2">
        <v>1503960366</v>
      </c>
      <c r="B14" s="3">
        <v>42466</v>
      </c>
      <c r="C14" t="str">
        <f t="shared" si="0"/>
        <v>Wednesday</v>
      </c>
      <c r="D14" t="str">
        <f t="shared" si="1"/>
        <v>Weekday</v>
      </c>
      <c r="E14" s="2">
        <v>11974</v>
      </c>
      <c r="F14" s="2">
        <v>7.670000076</v>
      </c>
      <c r="G14" s="2">
        <v>7.670000076</v>
      </c>
      <c r="H14" s="2">
        <v>0</v>
      </c>
      <c r="I14" s="2">
        <v>2.039999962</v>
      </c>
      <c r="J14" s="2">
        <v>0.47999998900000002</v>
      </c>
      <c r="K14" s="2">
        <v>5.1500000950000002</v>
      </c>
      <c r="L14" s="2">
        <v>0</v>
      </c>
      <c r="M14" s="2">
        <v>27</v>
      </c>
      <c r="N14" s="2">
        <v>12</v>
      </c>
      <c r="O14" s="2">
        <v>228</v>
      </c>
      <c r="P14" s="2">
        <v>1173</v>
      </c>
      <c r="Q14" s="2">
        <f t="shared" si="2"/>
        <v>267</v>
      </c>
      <c r="R14" s="2">
        <f t="shared" si="3"/>
        <v>1440</v>
      </c>
      <c r="S14" t="str">
        <f t="shared" si="4"/>
        <v>Highly Active</v>
      </c>
      <c r="T14" s="2">
        <v>1861</v>
      </c>
    </row>
    <row r="15" spans="1:20" x14ac:dyDescent="0.25">
      <c r="A15" s="2">
        <v>1503960366</v>
      </c>
      <c r="B15" s="3">
        <v>42467</v>
      </c>
      <c r="C15" t="str">
        <f t="shared" si="0"/>
        <v>Thursday</v>
      </c>
      <c r="D15" t="str">
        <f t="shared" si="1"/>
        <v>Weekday</v>
      </c>
      <c r="E15" s="2">
        <v>10198</v>
      </c>
      <c r="F15" s="2">
        <v>6.4400000569999998</v>
      </c>
      <c r="G15" s="2">
        <v>6.4400000569999998</v>
      </c>
      <c r="H15" s="2">
        <v>0</v>
      </c>
      <c r="I15" s="2">
        <v>1.2000000479999999</v>
      </c>
      <c r="J15" s="2">
        <v>0.790000021</v>
      </c>
      <c r="K15" s="2">
        <v>4.4499998090000004</v>
      </c>
      <c r="L15" s="2">
        <v>0</v>
      </c>
      <c r="M15" s="2">
        <v>17</v>
      </c>
      <c r="N15" s="2">
        <v>20</v>
      </c>
      <c r="O15" s="2">
        <v>195</v>
      </c>
      <c r="P15" s="2">
        <v>1208</v>
      </c>
      <c r="Q15" s="2">
        <f t="shared" si="2"/>
        <v>232</v>
      </c>
      <c r="R15" s="2">
        <f t="shared" si="3"/>
        <v>1440</v>
      </c>
      <c r="S15" t="str">
        <f t="shared" si="4"/>
        <v>Highly Active</v>
      </c>
      <c r="T15" s="2">
        <v>1755</v>
      </c>
    </row>
    <row r="16" spans="1:20" x14ac:dyDescent="0.25">
      <c r="A16" s="2">
        <v>1503960366</v>
      </c>
      <c r="B16" s="3">
        <v>42468</v>
      </c>
      <c r="C16" t="str">
        <f t="shared" si="0"/>
        <v>Friday</v>
      </c>
      <c r="D16" t="str">
        <f t="shared" si="1"/>
        <v>Weekday</v>
      </c>
      <c r="E16" s="2">
        <v>12521</v>
      </c>
      <c r="F16" s="2">
        <v>7.9400000569999998</v>
      </c>
      <c r="G16" s="2">
        <v>7.9400000569999998</v>
      </c>
      <c r="H16" s="2">
        <v>0</v>
      </c>
      <c r="I16" s="2">
        <v>3.3099999430000002</v>
      </c>
      <c r="J16" s="2">
        <v>0.89999997600000003</v>
      </c>
      <c r="K16" s="2">
        <v>3.7400000100000002</v>
      </c>
      <c r="L16" s="2">
        <v>0</v>
      </c>
      <c r="M16" s="2">
        <v>46</v>
      </c>
      <c r="N16" s="2">
        <v>22</v>
      </c>
      <c r="O16" s="2">
        <v>212</v>
      </c>
      <c r="P16" s="2">
        <v>1160</v>
      </c>
      <c r="Q16" s="2">
        <f t="shared" si="2"/>
        <v>280</v>
      </c>
      <c r="R16" s="2">
        <f t="shared" si="3"/>
        <v>1440</v>
      </c>
      <c r="S16" t="str">
        <f t="shared" si="4"/>
        <v>Highly Active</v>
      </c>
      <c r="T16" s="2">
        <v>1895</v>
      </c>
    </row>
    <row r="17" spans="1:20" x14ac:dyDescent="0.25">
      <c r="A17" s="2">
        <v>1503960366</v>
      </c>
      <c r="B17" s="3">
        <v>42469</v>
      </c>
      <c r="C17" t="str">
        <f t="shared" si="0"/>
        <v>Saturday</v>
      </c>
      <c r="D17" t="str">
        <f t="shared" si="1"/>
        <v>Weekend</v>
      </c>
      <c r="E17" s="2">
        <v>12432</v>
      </c>
      <c r="F17" s="2">
        <v>8.1000003809999992</v>
      </c>
      <c r="G17" s="2">
        <v>8.1000003809999992</v>
      </c>
      <c r="H17" s="2">
        <v>0</v>
      </c>
      <c r="I17" s="2">
        <v>2.5899999139999998</v>
      </c>
      <c r="J17" s="2">
        <v>0.58999997400000004</v>
      </c>
      <c r="K17" s="2">
        <v>4.920000076</v>
      </c>
      <c r="L17" s="2">
        <v>0</v>
      </c>
      <c r="M17" s="2">
        <v>32</v>
      </c>
      <c r="N17" s="2">
        <v>15</v>
      </c>
      <c r="O17" s="2">
        <v>248</v>
      </c>
      <c r="P17" s="2">
        <v>738</v>
      </c>
      <c r="Q17" s="2">
        <f t="shared" si="2"/>
        <v>295</v>
      </c>
      <c r="R17" s="2">
        <f t="shared" si="3"/>
        <v>1033</v>
      </c>
      <c r="S17" t="str">
        <f t="shared" si="4"/>
        <v>Highly Active</v>
      </c>
      <c r="T17" s="2">
        <v>1883</v>
      </c>
    </row>
    <row r="18" spans="1:20" x14ac:dyDescent="0.25">
      <c r="A18" s="2">
        <v>1503960366</v>
      </c>
      <c r="B18" s="3">
        <v>42470</v>
      </c>
      <c r="C18" t="str">
        <f t="shared" si="0"/>
        <v>Sunday</v>
      </c>
      <c r="D18" t="str">
        <f t="shared" si="1"/>
        <v>Weekend</v>
      </c>
      <c r="E18" s="2">
        <v>10057</v>
      </c>
      <c r="F18" s="2">
        <v>6.9800000190000002</v>
      </c>
      <c r="G18" s="2">
        <v>6.9800000190000002</v>
      </c>
      <c r="H18" s="2">
        <v>0</v>
      </c>
      <c r="I18" s="2">
        <v>4</v>
      </c>
      <c r="J18" s="2">
        <v>0.49000000999999999</v>
      </c>
      <c r="K18" s="2">
        <v>2.4800000190000002</v>
      </c>
      <c r="L18" s="2">
        <v>0</v>
      </c>
      <c r="M18" s="2">
        <v>44</v>
      </c>
      <c r="N18" s="2">
        <v>13</v>
      </c>
      <c r="O18" s="2">
        <v>168</v>
      </c>
      <c r="P18" s="2">
        <v>737</v>
      </c>
      <c r="Q18" s="2">
        <f t="shared" si="2"/>
        <v>225</v>
      </c>
      <c r="R18" s="2">
        <f t="shared" si="3"/>
        <v>962</v>
      </c>
      <c r="S18" t="str">
        <f t="shared" si="4"/>
        <v>Highly Active</v>
      </c>
      <c r="T18" s="2">
        <v>1755</v>
      </c>
    </row>
    <row r="19" spans="1:20" x14ac:dyDescent="0.25">
      <c r="A19" s="2">
        <v>1503960366</v>
      </c>
      <c r="B19" s="3">
        <v>42471</v>
      </c>
      <c r="C19" t="str">
        <f t="shared" si="0"/>
        <v>Monday</v>
      </c>
      <c r="D19" t="str">
        <f t="shared" si="1"/>
        <v>Weekday</v>
      </c>
      <c r="E19" s="2">
        <v>10990</v>
      </c>
      <c r="F19" s="2">
        <v>7.2600002290000001</v>
      </c>
      <c r="G19" s="2">
        <v>7.2600002290000001</v>
      </c>
      <c r="H19" s="2">
        <v>0</v>
      </c>
      <c r="I19" s="2">
        <v>2.039999962</v>
      </c>
      <c r="J19" s="2">
        <v>0.56999999300000004</v>
      </c>
      <c r="K19" s="2">
        <v>4.6500000950000002</v>
      </c>
      <c r="L19" s="2">
        <v>0</v>
      </c>
      <c r="M19" s="2">
        <v>26</v>
      </c>
      <c r="N19" s="2">
        <v>14</v>
      </c>
      <c r="O19" s="2">
        <v>216</v>
      </c>
      <c r="P19" s="2">
        <v>855</v>
      </c>
      <c r="Q19" s="2">
        <f t="shared" si="2"/>
        <v>256</v>
      </c>
      <c r="R19" s="2">
        <f t="shared" si="3"/>
        <v>1111</v>
      </c>
      <c r="S19" t="str">
        <f t="shared" si="4"/>
        <v>Highly Active</v>
      </c>
      <c r="T19" s="2">
        <v>1811</v>
      </c>
    </row>
    <row r="20" spans="1:20" x14ac:dyDescent="0.25">
      <c r="A20" s="2">
        <v>1503960366</v>
      </c>
      <c r="B20" s="3">
        <v>42473</v>
      </c>
      <c r="C20" t="str">
        <f t="shared" si="0"/>
        <v>Wednesday</v>
      </c>
      <c r="D20" t="str">
        <f t="shared" si="1"/>
        <v>Weekday</v>
      </c>
      <c r="E20" s="2">
        <v>10735</v>
      </c>
      <c r="F20" s="2">
        <v>6.9699997900000001</v>
      </c>
      <c r="G20" s="2">
        <v>6.9699997900000001</v>
      </c>
      <c r="H20" s="2">
        <v>0</v>
      </c>
      <c r="I20" s="2">
        <v>1.5700000519999999</v>
      </c>
      <c r="J20" s="2">
        <v>0.689999998</v>
      </c>
      <c r="K20" s="2">
        <v>4.7100000380000004</v>
      </c>
      <c r="L20" s="2">
        <v>0</v>
      </c>
      <c r="M20" s="2">
        <v>21</v>
      </c>
      <c r="N20" s="2">
        <v>19</v>
      </c>
      <c r="O20" s="2">
        <v>217</v>
      </c>
      <c r="P20" s="2">
        <v>776</v>
      </c>
      <c r="Q20" s="2">
        <f t="shared" si="2"/>
        <v>257</v>
      </c>
      <c r="R20" s="2">
        <f t="shared" si="3"/>
        <v>1033</v>
      </c>
      <c r="S20" t="str">
        <f t="shared" si="4"/>
        <v>Highly Active</v>
      </c>
      <c r="T20" s="2">
        <v>1797</v>
      </c>
    </row>
    <row r="21" spans="1:20" x14ac:dyDescent="0.25">
      <c r="A21" s="2">
        <v>1503960366</v>
      </c>
      <c r="B21" s="3">
        <v>42474</v>
      </c>
      <c r="C21" t="str">
        <f t="shared" si="0"/>
        <v>Thursday</v>
      </c>
      <c r="D21" t="str">
        <f t="shared" si="1"/>
        <v>Weekday</v>
      </c>
      <c r="E21" s="2">
        <v>10460</v>
      </c>
      <c r="F21" s="2">
        <v>6.7399997709999999</v>
      </c>
      <c r="G21" s="2">
        <v>6.7399997709999999</v>
      </c>
      <c r="H21" s="2">
        <v>0</v>
      </c>
      <c r="I21" s="2">
        <v>2.4400000569999998</v>
      </c>
      <c r="J21" s="2">
        <v>0.40000000600000002</v>
      </c>
      <c r="K21" s="2">
        <v>3.9100000860000002</v>
      </c>
      <c r="L21" s="2">
        <v>0</v>
      </c>
      <c r="M21" s="2">
        <v>30</v>
      </c>
      <c r="N21" s="2">
        <v>11</v>
      </c>
      <c r="O21" s="2">
        <v>181</v>
      </c>
      <c r="P21" s="2">
        <v>1218</v>
      </c>
      <c r="Q21" s="2">
        <f t="shared" si="2"/>
        <v>222</v>
      </c>
      <c r="R21" s="2">
        <f t="shared" si="3"/>
        <v>1440</v>
      </c>
      <c r="S21" t="str">
        <f t="shared" si="4"/>
        <v>Highly Active</v>
      </c>
      <c r="T21" s="2">
        <v>1776</v>
      </c>
    </row>
    <row r="22" spans="1:20" x14ac:dyDescent="0.25">
      <c r="A22" s="2">
        <v>1503960366</v>
      </c>
      <c r="B22" s="3">
        <v>42475</v>
      </c>
      <c r="C22" t="str">
        <f t="shared" si="0"/>
        <v>Friday</v>
      </c>
      <c r="D22" t="str">
        <f t="shared" si="1"/>
        <v>Weekday</v>
      </c>
      <c r="E22" s="2">
        <v>9762</v>
      </c>
      <c r="F22" s="2">
        <v>6.2800002099999999</v>
      </c>
      <c r="G22" s="2">
        <v>6.2800002099999999</v>
      </c>
      <c r="H22" s="2">
        <v>0</v>
      </c>
      <c r="I22" s="2">
        <v>2.1400001049999999</v>
      </c>
      <c r="J22" s="2">
        <v>1.2599999900000001</v>
      </c>
      <c r="K22" s="2">
        <v>2.829999924</v>
      </c>
      <c r="L22" s="2">
        <v>0</v>
      </c>
      <c r="M22" s="2">
        <v>29</v>
      </c>
      <c r="N22" s="2">
        <v>34</v>
      </c>
      <c r="O22" s="2">
        <v>209</v>
      </c>
      <c r="P22" s="2">
        <v>726</v>
      </c>
      <c r="Q22" s="2">
        <f t="shared" si="2"/>
        <v>272</v>
      </c>
      <c r="R22" s="2">
        <f t="shared" si="3"/>
        <v>998</v>
      </c>
      <c r="S22" t="str">
        <f t="shared" si="4"/>
        <v>Fairly Active</v>
      </c>
      <c r="T22" s="2">
        <v>1745</v>
      </c>
    </row>
    <row r="23" spans="1:20" x14ac:dyDescent="0.25">
      <c r="A23" s="2">
        <v>1503960366</v>
      </c>
      <c r="B23" s="3">
        <v>42476</v>
      </c>
      <c r="C23" t="str">
        <f t="shared" si="0"/>
        <v>Saturday</v>
      </c>
      <c r="D23" t="str">
        <f t="shared" si="1"/>
        <v>Weekend</v>
      </c>
      <c r="E23" s="2">
        <v>12669</v>
      </c>
      <c r="F23" s="2">
        <v>8.1599998469999999</v>
      </c>
      <c r="G23" s="2">
        <v>8.1599998469999999</v>
      </c>
      <c r="H23" s="2">
        <v>0</v>
      </c>
      <c r="I23" s="2">
        <v>2.710000038</v>
      </c>
      <c r="J23" s="2">
        <v>0.40999999599999998</v>
      </c>
      <c r="K23" s="2">
        <v>5.0399999619999996</v>
      </c>
      <c r="L23" s="2">
        <v>0</v>
      </c>
      <c r="M23" s="2">
        <v>36</v>
      </c>
      <c r="N23" s="2">
        <v>10</v>
      </c>
      <c r="O23" s="2">
        <v>221</v>
      </c>
      <c r="P23" s="2">
        <v>773</v>
      </c>
      <c r="Q23" s="2">
        <f t="shared" si="2"/>
        <v>267</v>
      </c>
      <c r="R23" s="2">
        <f t="shared" si="3"/>
        <v>1040</v>
      </c>
      <c r="S23" t="str">
        <f t="shared" si="4"/>
        <v>Highly Active</v>
      </c>
      <c r="T23" s="2">
        <v>1863</v>
      </c>
    </row>
    <row r="24" spans="1:20" x14ac:dyDescent="0.25">
      <c r="A24" s="2">
        <v>1503960366</v>
      </c>
      <c r="B24" s="3">
        <v>42477</v>
      </c>
      <c r="C24" t="str">
        <f t="shared" si="0"/>
        <v>Sunday</v>
      </c>
      <c r="D24" t="str">
        <f t="shared" si="1"/>
        <v>Weekend</v>
      </c>
      <c r="E24" s="2">
        <v>9705</v>
      </c>
      <c r="F24" s="2">
        <v>6.4800000190000002</v>
      </c>
      <c r="G24" s="2">
        <v>6.4800000190000002</v>
      </c>
      <c r="H24" s="2">
        <v>0</v>
      </c>
      <c r="I24" s="2">
        <v>3.1900000569999998</v>
      </c>
      <c r="J24" s="2">
        <v>0.77999997099999996</v>
      </c>
      <c r="K24" s="2">
        <v>2.5099999899999998</v>
      </c>
      <c r="L24" s="2">
        <v>0</v>
      </c>
      <c r="M24" s="2">
        <v>38</v>
      </c>
      <c r="N24" s="2">
        <v>20</v>
      </c>
      <c r="O24" s="2">
        <v>164</v>
      </c>
      <c r="P24" s="2">
        <v>539</v>
      </c>
      <c r="Q24" s="2">
        <f t="shared" si="2"/>
        <v>222</v>
      </c>
      <c r="R24" s="2">
        <f t="shared" si="3"/>
        <v>761</v>
      </c>
      <c r="S24" t="str">
        <f t="shared" si="4"/>
        <v>Fairly Active</v>
      </c>
      <c r="T24" s="2">
        <v>1728</v>
      </c>
    </row>
    <row r="25" spans="1:20" x14ac:dyDescent="0.25">
      <c r="A25" s="2">
        <v>1503960366</v>
      </c>
      <c r="B25" s="3">
        <v>42478</v>
      </c>
      <c r="C25" t="str">
        <f t="shared" si="0"/>
        <v>Monday</v>
      </c>
      <c r="D25" t="str">
        <f t="shared" si="1"/>
        <v>Weekday</v>
      </c>
      <c r="E25" s="2">
        <v>13019</v>
      </c>
      <c r="F25" s="2">
        <v>8.5900001530000001</v>
      </c>
      <c r="G25" s="2">
        <v>8.5900001530000001</v>
      </c>
      <c r="H25" s="2">
        <v>0</v>
      </c>
      <c r="I25" s="2">
        <v>3.25</v>
      </c>
      <c r="J25" s="2">
        <v>0.63999998599999997</v>
      </c>
      <c r="K25" s="2">
        <v>4.7100000380000004</v>
      </c>
      <c r="L25" s="2">
        <v>0</v>
      </c>
      <c r="M25" s="2">
        <v>42</v>
      </c>
      <c r="N25" s="2">
        <v>16</v>
      </c>
      <c r="O25" s="2">
        <v>233</v>
      </c>
      <c r="P25" s="2">
        <v>1149</v>
      </c>
      <c r="Q25" s="2">
        <f t="shared" si="2"/>
        <v>291</v>
      </c>
      <c r="R25" s="2">
        <f t="shared" si="3"/>
        <v>1440</v>
      </c>
      <c r="S25" t="str">
        <f t="shared" si="4"/>
        <v>Highly Active</v>
      </c>
      <c r="T25" s="2">
        <v>1921</v>
      </c>
    </row>
    <row r="26" spans="1:20" x14ac:dyDescent="0.25">
      <c r="A26" s="2">
        <v>1503960366</v>
      </c>
      <c r="B26" s="3">
        <v>42479</v>
      </c>
      <c r="C26" t="str">
        <f t="shared" si="0"/>
        <v>Tuesday</v>
      </c>
      <c r="D26" t="str">
        <f t="shared" si="1"/>
        <v>Weekday</v>
      </c>
      <c r="E26" s="2">
        <v>15506</v>
      </c>
      <c r="F26" s="2">
        <v>9.8800001139999996</v>
      </c>
      <c r="G26" s="2">
        <v>9.8800001139999996</v>
      </c>
      <c r="H26" s="2">
        <v>0</v>
      </c>
      <c r="I26" s="2">
        <v>3.5299999710000001</v>
      </c>
      <c r="J26" s="2">
        <v>1.3200000519999999</v>
      </c>
      <c r="K26" s="2">
        <v>5.0300002099999999</v>
      </c>
      <c r="L26" s="2">
        <v>0</v>
      </c>
      <c r="M26" s="2">
        <v>50</v>
      </c>
      <c r="N26" s="2">
        <v>31</v>
      </c>
      <c r="O26" s="2">
        <v>264</v>
      </c>
      <c r="P26" s="2">
        <v>775</v>
      </c>
      <c r="Q26" s="2">
        <f t="shared" si="2"/>
        <v>345</v>
      </c>
      <c r="R26" s="2">
        <f t="shared" si="3"/>
        <v>1120</v>
      </c>
      <c r="S26" t="str">
        <f t="shared" si="4"/>
        <v>Highly Active</v>
      </c>
      <c r="T26" s="2">
        <v>2035</v>
      </c>
    </row>
    <row r="27" spans="1:20" x14ac:dyDescent="0.25">
      <c r="A27" s="2">
        <v>1503960366</v>
      </c>
      <c r="B27" s="3">
        <v>42480</v>
      </c>
      <c r="C27" t="str">
        <f t="shared" si="0"/>
        <v>Wednesday</v>
      </c>
      <c r="D27" t="str">
        <f t="shared" si="1"/>
        <v>Weekday</v>
      </c>
      <c r="E27" s="2">
        <v>10544</v>
      </c>
      <c r="F27" s="2">
        <v>6.6799998279999997</v>
      </c>
      <c r="G27" s="2">
        <v>6.6799998279999997</v>
      </c>
      <c r="H27" s="2">
        <v>0</v>
      </c>
      <c r="I27" s="2">
        <v>1.960000038</v>
      </c>
      <c r="J27" s="2">
        <v>0.47999998900000002</v>
      </c>
      <c r="K27" s="2">
        <v>4.2399997709999999</v>
      </c>
      <c r="L27" s="2">
        <v>0</v>
      </c>
      <c r="M27" s="2">
        <v>28</v>
      </c>
      <c r="N27" s="2">
        <v>12</v>
      </c>
      <c r="O27" s="2">
        <v>205</v>
      </c>
      <c r="P27" s="2">
        <v>818</v>
      </c>
      <c r="Q27" s="2">
        <f t="shared" si="2"/>
        <v>245</v>
      </c>
      <c r="R27" s="2">
        <f t="shared" si="3"/>
        <v>1063</v>
      </c>
      <c r="S27" t="str">
        <f t="shared" si="4"/>
        <v>Highly Active</v>
      </c>
      <c r="T27" s="2">
        <v>1786</v>
      </c>
    </row>
    <row r="28" spans="1:20" x14ac:dyDescent="0.25">
      <c r="A28" s="2">
        <v>1503960366</v>
      </c>
      <c r="B28" s="3">
        <v>42481</v>
      </c>
      <c r="C28" t="str">
        <f t="shared" si="0"/>
        <v>Thursday</v>
      </c>
      <c r="D28" t="str">
        <f t="shared" si="1"/>
        <v>Weekday</v>
      </c>
      <c r="E28" s="2">
        <v>9819</v>
      </c>
      <c r="F28" s="2">
        <v>6.3400001530000001</v>
      </c>
      <c r="G28" s="2">
        <v>6.3400001530000001</v>
      </c>
      <c r="H28" s="2">
        <v>0</v>
      </c>
      <c r="I28" s="2">
        <v>1.3400000329999999</v>
      </c>
      <c r="J28" s="2">
        <v>0.34999999399999998</v>
      </c>
      <c r="K28" s="2">
        <v>4.6500000950000002</v>
      </c>
      <c r="L28" s="2">
        <v>0</v>
      </c>
      <c r="M28" s="2">
        <v>19</v>
      </c>
      <c r="N28" s="2">
        <v>8</v>
      </c>
      <c r="O28" s="2">
        <v>211</v>
      </c>
      <c r="P28" s="2">
        <v>838</v>
      </c>
      <c r="Q28" s="2">
        <f t="shared" si="2"/>
        <v>238</v>
      </c>
      <c r="R28" s="2">
        <f t="shared" si="3"/>
        <v>1076</v>
      </c>
      <c r="S28" t="str">
        <f t="shared" si="4"/>
        <v>Fairly Active</v>
      </c>
      <c r="T28" s="2">
        <v>1775</v>
      </c>
    </row>
    <row r="29" spans="1:20" x14ac:dyDescent="0.25">
      <c r="A29" s="2">
        <v>1503960366</v>
      </c>
      <c r="B29" s="3">
        <v>42482</v>
      </c>
      <c r="C29" t="str">
        <f t="shared" si="0"/>
        <v>Friday</v>
      </c>
      <c r="D29" t="str">
        <f t="shared" si="1"/>
        <v>Weekday</v>
      </c>
      <c r="E29" s="2">
        <v>12764</v>
      </c>
      <c r="F29" s="2">
        <v>8.1300001139999996</v>
      </c>
      <c r="G29" s="2">
        <v>8.1300001139999996</v>
      </c>
      <c r="H29" s="2">
        <v>0</v>
      </c>
      <c r="I29" s="2">
        <v>4.7600002290000001</v>
      </c>
      <c r="J29" s="2">
        <v>1.1200000050000001</v>
      </c>
      <c r="K29" s="2">
        <v>2.2400000100000002</v>
      </c>
      <c r="L29" s="2">
        <v>0</v>
      </c>
      <c r="M29" s="2">
        <v>66</v>
      </c>
      <c r="N29" s="2">
        <v>27</v>
      </c>
      <c r="O29" s="2">
        <v>130</v>
      </c>
      <c r="P29" s="2">
        <v>1217</v>
      </c>
      <c r="Q29" s="2">
        <f t="shared" si="2"/>
        <v>223</v>
      </c>
      <c r="R29" s="2">
        <f t="shared" si="3"/>
        <v>1440</v>
      </c>
      <c r="S29" t="str">
        <f t="shared" si="4"/>
        <v>Highly Active</v>
      </c>
      <c r="T29" s="2">
        <v>1827</v>
      </c>
    </row>
    <row r="30" spans="1:20" x14ac:dyDescent="0.25">
      <c r="A30" s="2">
        <v>1503960366</v>
      </c>
      <c r="B30" s="3">
        <v>42483</v>
      </c>
      <c r="C30" t="str">
        <f t="shared" si="0"/>
        <v>Saturday</v>
      </c>
      <c r="D30" t="str">
        <f t="shared" si="1"/>
        <v>Weekend</v>
      </c>
      <c r="E30" s="2">
        <v>14371</v>
      </c>
      <c r="F30" s="2">
        <v>9.0399999619999996</v>
      </c>
      <c r="G30" s="2">
        <v>9.0399999619999996</v>
      </c>
      <c r="H30" s="2">
        <v>0</v>
      </c>
      <c r="I30" s="2">
        <v>2.8099999430000002</v>
      </c>
      <c r="J30" s="2">
        <v>0.87000000499999997</v>
      </c>
      <c r="K30" s="2">
        <v>5.3600001339999999</v>
      </c>
      <c r="L30" s="2">
        <v>0</v>
      </c>
      <c r="M30" s="2">
        <v>41</v>
      </c>
      <c r="N30" s="2">
        <v>21</v>
      </c>
      <c r="O30" s="2">
        <v>262</v>
      </c>
      <c r="P30" s="2">
        <v>732</v>
      </c>
      <c r="Q30" s="2">
        <f t="shared" si="2"/>
        <v>324</v>
      </c>
      <c r="R30" s="2">
        <f t="shared" si="3"/>
        <v>1056</v>
      </c>
      <c r="S30" t="str">
        <f t="shared" si="4"/>
        <v>Highly Active</v>
      </c>
      <c r="T30" s="2">
        <v>1949</v>
      </c>
    </row>
    <row r="31" spans="1:20" x14ac:dyDescent="0.25">
      <c r="A31" s="2">
        <v>1503960366</v>
      </c>
      <c r="B31" s="3">
        <v>42484</v>
      </c>
      <c r="C31" t="str">
        <f t="shared" si="0"/>
        <v>Sunday</v>
      </c>
      <c r="D31" t="str">
        <f t="shared" si="1"/>
        <v>Weekend</v>
      </c>
      <c r="E31" s="2">
        <v>10039</v>
      </c>
      <c r="F31" s="2">
        <v>6.4099998469999999</v>
      </c>
      <c r="G31" s="2">
        <v>6.4099998469999999</v>
      </c>
      <c r="H31" s="2">
        <v>0</v>
      </c>
      <c r="I31" s="2">
        <v>2.920000076</v>
      </c>
      <c r="J31" s="2">
        <v>0.209999993</v>
      </c>
      <c r="K31" s="2">
        <v>3.2799999710000001</v>
      </c>
      <c r="L31" s="2">
        <v>0</v>
      </c>
      <c r="M31" s="2">
        <v>39</v>
      </c>
      <c r="N31" s="2">
        <v>5</v>
      </c>
      <c r="O31" s="2">
        <v>238</v>
      </c>
      <c r="P31" s="2">
        <v>709</v>
      </c>
      <c r="Q31" s="2">
        <f t="shared" si="2"/>
        <v>282</v>
      </c>
      <c r="R31" s="2">
        <f t="shared" si="3"/>
        <v>991</v>
      </c>
      <c r="S31" t="str">
        <f t="shared" si="4"/>
        <v>Highly Active</v>
      </c>
      <c r="T31" s="2">
        <v>1788</v>
      </c>
    </row>
    <row r="32" spans="1:20" x14ac:dyDescent="0.25">
      <c r="A32" s="2">
        <v>1503960366</v>
      </c>
      <c r="B32" s="3">
        <v>42485</v>
      </c>
      <c r="C32" t="str">
        <f t="shared" si="0"/>
        <v>Monday</v>
      </c>
      <c r="D32" t="str">
        <f t="shared" si="1"/>
        <v>Weekday</v>
      </c>
      <c r="E32" s="2">
        <v>15355</v>
      </c>
      <c r="F32" s="2">
        <v>9.8000001910000005</v>
      </c>
      <c r="G32" s="2">
        <v>9.8000001910000005</v>
      </c>
      <c r="H32" s="2">
        <v>0</v>
      </c>
      <c r="I32" s="2">
        <v>5.2899999619999996</v>
      </c>
      <c r="J32" s="2">
        <v>0.56999999300000004</v>
      </c>
      <c r="K32" s="2">
        <v>3.9400000569999998</v>
      </c>
      <c r="L32" s="2">
        <v>0</v>
      </c>
      <c r="M32" s="2">
        <v>73</v>
      </c>
      <c r="N32" s="2">
        <v>14</v>
      </c>
      <c r="O32" s="2">
        <v>216</v>
      </c>
      <c r="P32" s="2">
        <v>814</v>
      </c>
      <c r="Q32" s="2">
        <f t="shared" si="2"/>
        <v>303</v>
      </c>
      <c r="R32" s="2">
        <f t="shared" si="3"/>
        <v>1117</v>
      </c>
      <c r="S32" t="str">
        <f t="shared" si="4"/>
        <v>Highly Active</v>
      </c>
      <c r="T32" s="2">
        <v>2013</v>
      </c>
    </row>
    <row r="33" spans="1:20" x14ac:dyDescent="0.25">
      <c r="A33" s="2">
        <v>1503960366</v>
      </c>
      <c r="B33" s="3">
        <v>42486</v>
      </c>
      <c r="C33" t="str">
        <f t="shared" si="0"/>
        <v>Tuesday</v>
      </c>
      <c r="D33" t="str">
        <f t="shared" si="1"/>
        <v>Weekday</v>
      </c>
      <c r="E33" s="2">
        <v>13755</v>
      </c>
      <c r="F33" s="2">
        <v>8.7899999619999996</v>
      </c>
      <c r="G33" s="2">
        <v>8.7899999619999996</v>
      </c>
      <c r="H33" s="2">
        <v>0</v>
      </c>
      <c r="I33" s="2">
        <v>2.329999924</v>
      </c>
      <c r="J33" s="2">
        <v>0.920000017</v>
      </c>
      <c r="K33" s="2">
        <v>5.5399999619999996</v>
      </c>
      <c r="L33" s="2">
        <v>0</v>
      </c>
      <c r="M33" s="2">
        <v>31</v>
      </c>
      <c r="N33" s="2">
        <v>23</v>
      </c>
      <c r="O33" s="2">
        <v>279</v>
      </c>
      <c r="P33" s="2">
        <v>833</v>
      </c>
      <c r="Q33" s="2">
        <f t="shared" si="2"/>
        <v>333</v>
      </c>
      <c r="R33" s="2">
        <f t="shared" si="3"/>
        <v>1166</v>
      </c>
      <c r="S33" t="str">
        <f t="shared" si="4"/>
        <v>Highly Active</v>
      </c>
      <c r="T33" s="2">
        <v>1970</v>
      </c>
    </row>
    <row r="34" spans="1:20" x14ac:dyDescent="0.25">
      <c r="A34" s="2">
        <v>1503960366</v>
      </c>
      <c r="B34" s="3">
        <v>42487</v>
      </c>
      <c r="C34" t="str">
        <f t="shared" si="0"/>
        <v>Wednesday</v>
      </c>
      <c r="D34" t="str">
        <f t="shared" si="1"/>
        <v>Weekday</v>
      </c>
      <c r="E34" s="2">
        <v>18134</v>
      </c>
      <c r="F34" s="2">
        <v>12.210000040000001</v>
      </c>
      <c r="G34" s="2">
        <v>12.210000040000001</v>
      </c>
      <c r="H34" s="2">
        <v>0</v>
      </c>
      <c r="I34" s="2">
        <v>6.4000000950000002</v>
      </c>
      <c r="J34" s="2">
        <v>0.40999999599999998</v>
      </c>
      <c r="K34" s="2">
        <v>5.4099998469999999</v>
      </c>
      <c r="L34" s="2">
        <v>0</v>
      </c>
      <c r="M34" s="2">
        <v>78</v>
      </c>
      <c r="N34" s="2">
        <v>11</v>
      </c>
      <c r="O34" s="2">
        <v>243</v>
      </c>
      <c r="P34" s="2">
        <v>1108</v>
      </c>
      <c r="Q34" s="2">
        <f t="shared" si="2"/>
        <v>332</v>
      </c>
      <c r="R34" s="2">
        <f t="shared" si="3"/>
        <v>1440</v>
      </c>
      <c r="S34" t="str">
        <f t="shared" si="4"/>
        <v>Highly Active</v>
      </c>
      <c r="T34" s="2">
        <v>2159</v>
      </c>
    </row>
    <row r="35" spans="1:20" x14ac:dyDescent="0.25">
      <c r="A35" s="2">
        <v>1503960366</v>
      </c>
      <c r="B35" s="3">
        <v>42488</v>
      </c>
      <c r="C35" t="str">
        <f t="shared" si="0"/>
        <v>Thursday</v>
      </c>
      <c r="D35" t="str">
        <f t="shared" si="1"/>
        <v>Weekday</v>
      </c>
      <c r="E35" s="2">
        <v>13154</v>
      </c>
      <c r="F35" s="2">
        <v>8.5299997330000004</v>
      </c>
      <c r="G35" s="2">
        <v>8.5299997330000004</v>
      </c>
      <c r="H35" s="2">
        <v>0</v>
      </c>
      <c r="I35" s="2">
        <v>3.539999962</v>
      </c>
      <c r="J35" s="2">
        <v>1.1599999670000001</v>
      </c>
      <c r="K35" s="2">
        <v>3.789999962</v>
      </c>
      <c r="L35" s="2">
        <v>0</v>
      </c>
      <c r="M35" s="2">
        <v>48</v>
      </c>
      <c r="N35" s="2">
        <v>28</v>
      </c>
      <c r="O35" s="2">
        <v>189</v>
      </c>
      <c r="P35" s="2">
        <v>782</v>
      </c>
      <c r="Q35" s="2">
        <f t="shared" si="2"/>
        <v>265</v>
      </c>
      <c r="R35" s="2">
        <f t="shared" si="3"/>
        <v>1047</v>
      </c>
      <c r="S35" t="str">
        <f t="shared" si="4"/>
        <v>Highly Active</v>
      </c>
      <c r="T35" s="2">
        <v>1898</v>
      </c>
    </row>
    <row r="36" spans="1:20" x14ac:dyDescent="0.25">
      <c r="A36" s="2">
        <v>1503960366</v>
      </c>
      <c r="B36" s="3">
        <v>42489</v>
      </c>
      <c r="C36" t="str">
        <f t="shared" si="0"/>
        <v>Friday</v>
      </c>
      <c r="D36" t="str">
        <f t="shared" si="1"/>
        <v>Weekday</v>
      </c>
      <c r="E36" s="2">
        <v>11181</v>
      </c>
      <c r="F36" s="2">
        <v>7.1500000950000002</v>
      </c>
      <c r="G36" s="2">
        <v>7.1500000950000002</v>
      </c>
      <c r="H36" s="2">
        <v>0</v>
      </c>
      <c r="I36" s="2">
        <v>1.059999943</v>
      </c>
      <c r="J36" s="2">
        <v>0.5</v>
      </c>
      <c r="K36" s="2">
        <v>5.579999924</v>
      </c>
      <c r="L36" s="2">
        <v>0</v>
      </c>
      <c r="M36" s="2">
        <v>16</v>
      </c>
      <c r="N36" s="2">
        <v>12</v>
      </c>
      <c r="O36" s="2">
        <v>243</v>
      </c>
      <c r="P36" s="2">
        <v>815</v>
      </c>
      <c r="Q36" s="2">
        <f t="shared" si="2"/>
        <v>271</v>
      </c>
      <c r="R36" s="2">
        <f t="shared" si="3"/>
        <v>1086</v>
      </c>
      <c r="S36" t="str">
        <f t="shared" si="4"/>
        <v>Highly Active</v>
      </c>
      <c r="T36" s="2">
        <v>1837</v>
      </c>
    </row>
    <row r="37" spans="1:20" x14ac:dyDescent="0.25">
      <c r="A37" s="2">
        <v>1503960366</v>
      </c>
      <c r="B37" s="3">
        <v>42490</v>
      </c>
      <c r="C37" t="str">
        <f t="shared" si="0"/>
        <v>Saturday</v>
      </c>
      <c r="D37" t="str">
        <f t="shared" si="1"/>
        <v>Weekend</v>
      </c>
      <c r="E37" s="2">
        <v>14673</v>
      </c>
      <c r="F37" s="2">
        <v>9.25</v>
      </c>
      <c r="G37" s="2">
        <v>9.25</v>
      </c>
      <c r="H37" s="2">
        <v>0</v>
      </c>
      <c r="I37" s="2">
        <v>3.5599999430000002</v>
      </c>
      <c r="J37" s="2">
        <v>1.4199999569999999</v>
      </c>
      <c r="K37" s="2">
        <v>4.2699999809999998</v>
      </c>
      <c r="L37" s="2">
        <v>0</v>
      </c>
      <c r="M37" s="2">
        <v>52</v>
      </c>
      <c r="N37" s="2">
        <v>34</v>
      </c>
      <c r="O37" s="2">
        <v>217</v>
      </c>
      <c r="P37" s="2">
        <v>712</v>
      </c>
      <c r="Q37" s="2">
        <f t="shared" si="2"/>
        <v>303</v>
      </c>
      <c r="R37" s="2">
        <f t="shared" si="3"/>
        <v>1015</v>
      </c>
      <c r="S37" t="str">
        <f t="shared" si="4"/>
        <v>Highly Active</v>
      </c>
      <c r="T37" s="2">
        <v>1947</v>
      </c>
    </row>
    <row r="38" spans="1:20" x14ac:dyDescent="0.25">
      <c r="A38" s="2">
        <v>1503960366</v>
      </c>
      <c r="B38" s="3">
        <v>42491</v>
      </c>
      <c r="C38" t="str">
        <f t="shared" si="0"/>
        <v>Sunday</v>
      </c>
      <c r="D38" t="str">
        <f t="shared" si="1"/>
        <v>Weekend</v>
      </c>
      <c r="E38" s="2">
        <v>10602</v>
      </c>
      <c r="F38" s="2">
        <v>6.8099999430000002</v>
      </c>
      <c r="G38" s="2">
        <v>6.8099999430000002</v>
      </c>
      <c r="H38" s="2">
        <v>0</v>
      </c>
      <c r="I38" s="2">
        <v>2.289999962</v>
      </c>
      <c r="J38" s="2">
        <v>1.6000000240000001</v>
      </c>
      <c r="K38" s="2">
        <v>2.920000076</v>
      </c>
      <c r="L38" s="2">
        <v>0</v>
      </c>
      <c r="M38" s="2">
        <v>33</v>
      </c>
      <c r="N38" s="2">
        <v>35</v>
      </c>
      <c r="O38" s="2">
        <v>246</v>
      </c>
      <c r="P38" s="2">
        <v>730</v>
      </c>
      <c r="Q38" s="2">
        <f t="shared" si="2"/>
        <v>314</v>
      </c>
      <c r="R38" s="2">
        <f t="shared" si="3"/>
        <v>1044</v>
      </c>
      <c r="S38" t="str">
        <f t="shared" si="4"/>
        <v>Highly Active</v>
      </c>
      <c r="T38" s="2">
        <v>1820</v>
      </c>
    </row>
    <row r="39" spans="1:20" x14ac:dyDescent="0.25">
      <c r="A39" s="2">
        <v>1503960366</v>
      </c>
      <c r="B39" s="3">
        <v>42492</v>
      </c>
      <c r="C39" t="str">
        <f t="shared" si="0"/>
        <v>Monday</v>
      </c>
      <c r="D39" t="str">
        <f t="shared" si="1"/>
        <v>Weekday</v>
      </c>
      <c r="E39" s="2">
        <v>14727</v>
      </c>
      <c r="F39" s="2">
        <v>9.7100000380000004</v>
      </c>
      <c r="G39" s="2">
        <v>9.7100000380000004</v>
      </c>
      <c r="H39" s="2">
        <v>0</v>
      </c>
      <c r="I39" s="2">
        <v>3.210000038</v>
      </c>
      <c r="J39" s="2">
        <v>0.56999999300000004</v>
      </c>
      <c r="K39" s="2">
        <v>5.920000076</v>
      </c>
      <c r="L39" s="2">
        <v>0</v>
      </c>
      <c r="M39" s="2">
        <v>41</v>
      </c>
      <c r="N39" s="2">
        <v>15</v>
      </c>
      <c r="O39" s="2">
        <v>277</v>
      </c>
      <c r="P39" s="2">
        <v>798</v>
      </c>
      <c r="Q39" s="2">
        <f t="shared" si="2"/>
        <v>333</v>
      </c>
      <c r="R39" s="2">
        <f t="shared" si="3"/>
        <v>1131</v>
      </c>
      <c r="S39" t="str">
        <f t="shared" si="4"/>
        <v>Highly Active</v>
      </c>
      <c r="T39" s="2">
        <v>2004</v>
      </c>
    </row>
    <row r="40" spans="1:20" x14ac:dyDescent="0.25">
      <c r="A40" s="2">
        <v>1503960366</v>
      </c>
      <c r="B40" s="3">
        <v>42493</v>
      </c>
      <c r="C40" t="str">
        <f t="shared" si="0"/>
        <v>Tuesday</v>
      </c>
      <c r="D40" t="str">
        <f t="shared" si="1"/>
        <v>Weekday</v>
      </c>
      <c r="E40" s="2">
        <v>15103</v>
      </c>
      <c r="F40" s="2">
        <v>9.6599998469999999</v>
      </c>
      <c r="G40" s="2">
        <v>9.6599998469999999</v>
      </c>
      <c r="H40" s="2">
        <v>0</v>
      </c>
      <c r="I40" s="2">
        <v>3.7300000190000002</v>
      </c>
      <c r="J40" s="2">
        <v>1.0499999520000001</v>
      </c>
      <c r="K40" s="2">
        <v>4.8800001139999996</v>
      </c>
      <c r="L40" s="2">
        <v>0</v>
      </c>
      <c r="M40" s="2">
        <v>50</v>
      </c>
      <c r="N40" s="2">
        <v>24</v>
      </c>
      <c r="O40" s="2">
        <v>254</v>
      </c>
      <c r="P40" s="2">
        <v>816</v>
      </c>
      <c r="Q40" s="2">
        <f t="shared" si="2"/>
        <v>328</v>
      </c>
      <c r="R40" s="2">
        <f t="shared" si="3"/>
        <v>1144</v>
      </c>
      <c r="S40" t="str">
        <f t="shared" si="4"/>
        <v>Highly Active</v>
      </c>
      <c r="T40" s="2">
        <v>1990</v>
      </c>
    </row>
    <row r="41" spans="1:20" x14ac:dyDescent="0.25">
      <c r="A41" s="2">
        <v>1503960366</v>
      </c>
      <c r="B41" s="3">
        <v>42494</v>
      </c>
      <c r="C41" t="str">
        <f t="shared" si="0"/>
        <v>Wednesday</v>
      </c>
      <c r="D41" t="str">
        <f t="shared" si="1"/>
        <v>Weekday</v>
      </c>
      <c r="E41" s="2">
        <v>11100</v>
      </c>
      <c r="F41" s="2">
        <v>7.1500000950000002</v>
      </c>
      <c r="G41" s="2">
        <v>7.1500000950000002</v>
      </c>
      <c r="H41" s="2">
        <v>0</v>
      </c>
      <c r="I41" s="2">
        <v>2.460000038</v>
      </c>
      <c r="J41" s="2">
        <v>0.87000000499999997</v>
      </c>
      <c r="K41" s="2">
        <v>3.8199999330000001</v>
      </c>
      <c r="L41" s="2">
        <v>0</v>
      </c>
      <c r="M41" s="2">
        <v>36</v>
      </c>
      <c r="N41" s="2">
        <v>22</v>
      </c>
      <c r="O41" s="2">
        <v>203</v>
      </c>
      <c r="P41" s="2">
        <v>1179</v>
      </c>
      <c r="Q41" s="2">
        <f t="shared" si="2"/>
        <v>261</v>
      </c>
      <c r="R41" s="2">
        <f t="shared" si="3"/>
        <v>1440</v>
      </c>
      <c r="S41" t="str">
        <f t="shared" si="4"/>
        <v>Highly Active</v>
      </c>
      <c r="T41" s="2">
        <v>1819</v>
      </c>
    </row>
    <row r="42" spans="1:20" x14ac:dyDescent="0.25">
      <c r="A42" s="2">
        <v>1503960366</v>
      </c>
      <c r="B42" s="3">
        <v>42495</v>
      </c>
      <c r="C42" t="str">
        <f t="shared" si="0"/>
        <v>Thursday</v>
      </c>
      <c r="D42" t="str">
        <f t="shared" si="1"/>
        <v>Weekday</v>
      </c>
      <c r="E42" s="2">
        <v>14070</v>
      </c>
      <c r="F42" s="2">
        <v>8.8999996190000008</v>
      </c>
      <c r="G42" s="2">
        <v>8.8999996190000008</v>
      </c>
      <c r="H42" s="2">
        <v>0</v>
      </c>
      <c r="I42" s="2">
        <v>2.920000076</v>
      </c>
      <c r="J42" s="2">
        <v>1.0800000430000001</v>
      </c>
      <c r="K42" s="2">
        <v>4.8800001139999996</v>
      </c>
      <c r="L42" s="2">
        <v>0</v>
      </c>
      <c r="M42" s="2">
        <v>45</v>
      </c>
      <c r="N42" s="2">
        <v>24</v>
      </c>
      <c r="O42" s="2">
        <v>250</v>
      </c>
      <c r="P42" s="2">
        <v>857</v>
      </c>
      <c r="Q42" s="2">
        <f t="shared" si="2"/>
        <v>319</v>
      </c>
      <c r="R42" s="2">
        <f t="shared" si="3"/>
        <v>1176</v>
      </c>
      <c r="S42" t="str">
        <f t="shared" si="4"/>
        <v>Highly Active</v>
      </c>
      <c r="T42" s="2">
        <v>1959</v>
      </c>
    </row>
    <row r="43" spans="1:20" x14ac:dyDescent="0.25">
      <c r="A43" s="2">
        <v>1503960366</v>
      </c>
      <c r="B43" s="3">
        <v>42496</v>
      </c>
      <c r="C43" t="str">
        <f t="shared" si="0"/>
        <v>Friday</v>
      </c>
      <c r="D43" t="str">
        <f t="shared" si="1"/>
        <v>Weekday</v>
      </c>
      <c r="E43" s="2">
        <v>12159</v>
      </c>
      <c r="F43" s="2">
        <v>8.0299997330000004</v>
      </c>
      <c r="G43" s="2">
        <v>8.0299997330000004</v>
      </c>
      <c r="H43" s="2">
        <v>0</v>
      </c>
      <c r="I43" s="2">
        <v>1.9700000289999999</v>
      </c>
      <c r="J43" s="2">
        <v>0.25</v>
      </c>
      <c r="K43" s="2">
        <v>5.8099999430000002</v>
      </c>
      <c r="L43" s="2">
        <v>0</v>
      </c>
      <c r="M43" s="2">
        <v>24</v>
      </c>
      <c r="N43" s="2">
        <v>6</v>
      </c>
      <c r="O43" s="2">
        <v>289</v>
      </c>
      <c r="P43" s="2">
        <v>754</v>
      </c>
      <c r="Q43" s="2">
        <f t="shared" si="2"/>
        <v>319</v>
      </c>
      <c r="R43" s="2">
        <f t="shared" si="3"/>
        <v>1073</v>
      </c>
      <c r="S43" t="str">
        <f t="shared" si="4"/>
        <v>Highly Active</v>
      </c>
      <c r="T43" s="2">
        <v>1896</v>
      </c>
    </row>
    <row r="44" spans="1:20" x14ac:dyDescent="0.25">
      <c r="A44" s="2">
        <v>1503960366</v>
      </c>
      <c r="B44" s="3">
        <v>42497</v>
      </c>
      <c r="C44" t="str">
        <f t="shared" si="0"/>
        <v>Saturday</v>
      </c>
      <c r="D44" t="str">
        <f t="shared" si="1"/>
        <v>Weekend</v>
      </c>
      <c r="E44" s="2">
        <v>11992</v>
      </c>
      <c r="F44" s="2">
        <v>7.7100000380000004</v>
      </c>
      <c r="G44" s="2">
        <v>7.7100000380000004</v>
      </c>
      <c r="H44" s="2">
        <v>0</v>
      </c>
      <c r="I44" s="2">
        <v>2.460000038</v>
      </c>
      <c r="J44" s="2">
        <v>2.119999886</v>
      </c>
      <c r="K44" s="2">
        <v>3.130000114</v>
      </c>
      <c r="L44" s="2">
        <v>0</v>
      </c>
      <c r="M44" s="2">
        <v>37</v>
      </c>
      <c r="N44" s="2">
        <v>46</v>
      </c>
      <c r="O44" s="2">
        <v>175</v>
      </c>
      <c r="P44" s="2">
        <v>833</v>
      </c>
      <c r="Q44" s="2">
        <f t="shared" si="2"/>
        <v>258</v>
      </c>
      <c r="R44" s="2">
        <f t="shared" si="3"/>
        <v>1091</v>
      </c>
      <c r="S44" t="str">
        <f t="shared" si="4"/>
        <v>Highly Active</v>
      </c>
      <c r="T44" s="2">
        <v>1821</v>
      </c>
    </row>
    <row r="45" spans="1:20" x14ac:dyDescent="0.25">
      <c r="A45" s="2">
        <v>1503960366</v>
      </c>
      <c r="B45" s="3">
        <v>42498</v>
      </c>
      <c r="C45" t="str">
        <f t="shared" si="0"/>
        <v>Sunday</v>
      </c>
      <c r="D45" t="str">
        <f t="shared" si="1"/>
        <v>Weekend</v>
      </c>
      <c r="E45" s="2">
        <v>10060</v>
      </c>
      <c r="F45" s="2">
        <v>6.579999924</v>
      </c>
      <c r="G45" s="2">
        <v>6.579999924</v>
      </c>
      <c r="H45" s="2">
        <v>0</v>
      </c>
      <c r="I45" s="2">
        <v>3.5299999710000001</v>
      </c>
      <c r="J45" s="2">
        <v>0.31999999299999998</v>
      </c>
      <c r="K45" s="2">
        <v>2.7300000190000002</v>
      </c>
      <c r="L45" s="2">
        <v>0</v>
      </c>
      <c r="M45" s="2">
        <v>44</v>
      </c>
      <c r="N45" s="2">
        <v>8</v>
      </c>
      <c r="O45" s="2">
        <v>203</v>
      </c>
      <c r="P45" s="2">
        <v>574</v>
      </c>
      <c r="Q45" s="2">
        <f t="shared" si="2"/>
        <v>255</v>
      </c>
      <c r="R45" s="2">
        <f t="shared" si="3"/>
        <v>829</v>
      </c>
      <c r="S45" t="str">
        <f t="shared" si="4"/>
        <v>Highly Active</v>
      </c>
      <c r="T45" s="2">
        <v>1740</v>
      </c>
    </row>
    <row r="46" spans="1:20" x14ac:dyDescent="0.25">
      <c r="A46" s="2">
        <v>1503960366</v>
      </c>
      <c r="B46" s="3">
        <v>42499</v>
      </c>
      <c r="C46" t="str">
        <f t="shared" si="0"/>
        <v>Monday</v>
      </c>
      <c r="D46" t="str">
        <f t="shared" si="1"/>
        <v>Weekday</v>
      </c>
      <c r="E46" s="2">
        <v>12022</v>
      </c>
      <c r="F46" s="2">
        <v>7.7199997900000001</v>
      </c>
      <c r="G46" s="2">
        <v>7.7199997900000001</v>
      </c>
      <c r="H46" s="2">
        <v>0</v>
      </c>
      <c r="I46" s="2">
        <v>3.4500000480000002</v>
      </c>
      <c r="J46" s="2">
        <v>0.52999997099999996</v>
      </c>
      <c r="K46" s="2">
        <v>3.7400000100000002</v>
      </c>
      <c r="L46" s="2">
        <v>0</v>
      </c>
      <c r="M46" s="2">
        <v>46</v>
      </c>
      <c r="N46" s="2">
        <v>11</v>
      </c>
      <c r="O46" s="2">
        <v>206</v>
      </c>
      <c r="P46" s="2">
        <v>835</v>
      </c>
      <c r="Q46" s="2">
        <f t="shared" si="2"/>
        <v>263</v>
      </c>
      <c r="R46" s="2">
        <f t="shared" si="3"/>
        <v>1098</v>
      </c>
      <c r="S46" t="str">
        <f t="shared" si="4"/>
        <v>Highly Active</v>
      </c>
      <c r="T46" s="2">
        <v>1819</v>
      </c>
    </row>
    <row r="47" spans="1:20" x14ac:dyDescent="0.25">
      <c r="A47" s="2">
        <v>1503960366</v>
      </c>
      <c r="B47" s="3">
        <v>42500</v>
      </c>
      <c r="C47" t="str">
        <f t="shared" si="0"/>
        <v>Tuesday</v>
      </c>
      <c r="D47" t="str">
        <f t="shared" si="1"/>
        <v>Weekday</v>
      </c>
      <c r="E47" s="2">
        <v>12207</v>
      </c>
      <c r="F47" s="2">
        <v>7.7699999809999998</v>
      </c>
      <c r="G47" s="2">
        <v>7.7699999809999998</v>
      </c>
      <c r="H47" s="2">
        <v>0</v>
      </c>
      <c r="I47" s="2">
        <v>3.3499999049999998</v>
      </c>
      <c r="J47" s="2">
        <v>1.1599999670000001</v>
      </c>
      <c r="K47" s="2">
        <v>3.2599999899999998</v>
      </c>
      <c r="L47" s="2">
        <v>0</v>
      </c>
      <c r="M47" s="2">
        <v>46</v>
      </c>
      <c r="N47" s="2">
        <v>31</v>
      </c>
      <c r="O47" s="2">
        <v>214</v>
      </c>
      <c r="P47" s="2">
        <v>746</v>
      </c>
      <c r="Q47" s="2">
        <f t="shared" si="2"/>
        <v>291</v>
      </c>
      <c r="R47" s="2">
        <f t="shared" si="3"/>
        <v>1037</v>
      </c>
      <c r="S47" t="str">
        <f t="shared" si="4"/>
        <v>Highly Active</v>
      </c>
      <c r="T47" s="2">
        <v>1859</v>
      </c>
    </row>
    <row r="48" spans="1:20" x14ac:dyDescent="0.25">
      <c r="A48" s="2">
        <v>1503960366</v>
      </c>
      <c r="B48" s="3">
        <v>42501</v>
      </c>
      <c r="C48" t="str">
        <f t="shared" si="0"/>
        <v>Wednesday</v>
      </c>
      <c r="D48" t="str">
        <f t="shared" si="1"/>
        <v>Weekday</v>
      </c>
      <c r="E48" s="2">
        <v>12770</v>
      </c>
      <c r="F48" s="2">
        <v>8.1300001139999996</v>
      </c>
      <c r="G48" s="2">
        <v>8.1300001139999996</v>
      </c>
      <c r="H48" s="2">
        <v>0</v>
      </c>
      <c r="I48" s="2">
        <v>2.5599999430000002</v>
      </c>
      <c r="J48" s="2">
        <v>1.0099999900000001</v>
      </c>
      <c r="K48" s="2">
        <v>4.5500001909999996</v>
      </c>
      <c r="L48" s="2">
        <v>0</v>
      </c>
      <c r="M48" s="2">
        <v>36</v>
      </c>
      <c r="N48" s="2">
        <v>23</v>
      </c>
      <c r="O48" s="2">
        <v>251</v>
      </c>
      <c r="P48" s="2">
        <v>669</v>
      </c>
      <c r="Q48" s="2">
        <f t="shared" si="2"/>
        <v>310</v>
      </c>
      <c r="R48" s="2">
        <f t="shared" si="3"/>
        <v>979</v>
      </c>
      <c r="S48" t="str">
        <f t="shared" si="4"/>
        <v>Highly Active</v>
      </c>
      <c r="T48" s="2">
        <v>1783</v>
      </c>
    </row>
    <row r="49" spans="1:20" x14ac:dyDescent="0.25">
      <c r="A49" s="2">
        <v>1624580081</v>
      </c>
      <c r="B49" s="3">
        <v>42454</v>
      </c>
      <c r="C49" t="str">
        <f t="shared" si="0"/>
        <v>Friday</v>
      </c>
      <c r="D49" t="str">
        <f t="shared" si="1"/>
        <v>Weekday</v>
      </c>
      <c r="E49" s="2">
        <v>1810</v>
      </c>
      <c r="F49" s="2">
        <v>1.1799999480000001</v>
      </c>
      <c r="G49" s="2">
        <v>1.1799999480000001</v>
      </c>
      <c r="H49" s="2">
        <v>0</v>
      </c>
      <c r="I49" s="2">
        <v>0</v>
      </c>
      <c r="J49" s="2">
        <v>0</v>
      </c>
      <c r="K49" s="2">
        <v>1.1299999949999999</v>
      </c>
      <c r="L49" s="2">
        <v>0.01</v>
      </c>
      <c r="M49" s="2">
        <v>0</v>
      </c>
      <c r="N49" s="2">
        <v>0</v>
      </c>
      <c r="O49" s="2">
        <v>121</v>
      </c>
      <c r="P49" s="2">
        <v>1319</v>
      </c>
      <c r="Q49" s="2">
        <f t="shared" si="2"/>
        <v>121</v>
      </c>
      <c r="R49" s="2">
        <f t="shared" si="3"/>
        <v>1440</v>
      </c>
      <c r="S49" t="str">
        <f t="shared" si="4"/>
        <v>Sedentary</v>
      </c>
      <c r="T49" s="2">
        <v>1373</v>
      </c>
    </row>
    <row r="50" spans="1:20" x14ac:dyDescent="0.25">
      <c r="A50" s="2">
        <v>1624580081</v>
      </c>
      <c r="B50" s="3">
        <v>42455</v>
      </c>
      <c r="C50" t="str">
        <f t="shared" si="0"/>
        <v>Saturday</v>
      </c>
      <c r="D50" t="str">
        <f t="shared" si="1"/>
        <v>Weekend</v>
      </c>
      <c r="E50" s="2">
        <v>815</v>
      </c>
      <c r="F50" s="2">
        <v>0.52999997099999996</v>
      </c>
      <c r="G50" s="2">
        <v>0.52999997099999996</v>
      </c>
      <c r="H50" s="2">
        <v>0</v>
      </c>
      <c r="I50" s="2">
        <v>0</v>
      </c>
      <c r="J50" s="2">
        <v>0</v>
      </c>
      <c r="K50" s="2">
        <v>0.52999997099999996</v>
      </c>
      <c r="L50" s="2">
        <v>0</v>
      </c>
      <c r="M50" s="2">
        <v>0</v>
      </c>
      <c r="N50" s="2">
        <v>0</v>
      </c>
      <c r="O50" s="2">
        <v>47</v>
      </c>
      <c r="P50" s="2">
        <v>1393</v>
      </c>
      <c r="Q50" s="2">
        <f t="shared" si="2"/>
        <v>47</v>
      </c>
      <c r="R50" s="2">
        <f t="shared" si="3"/>
        <v>1440</v>
      </c>
      <c r="S50" t="str">
        <f t="shared" si="4"/>
        <v>Sedentary</v>
      </c>
      <c r="T50" s="2">
        <v>1264</v>
      </c>
    </row>
    <row r="51" spans="1:20" x14ac:dyDescent="0.25">
      <c r="A51" s="2">
        <v>1624580081</v>
      </c>
      <c r="B51" s="3">
        <v>42456</v>
      </c>
      <c r="C51" t="str">
        <f t="shared" si="0"/>
        <v>Sunday</v>
      </c>
      <c r="D51" t="str">
        <f t="shared" si="1"/>
        <v>Weekend</v>
      </c>
      <c r="E51" s="2">
        <v>1985</v>
      </c>
      <c r="F51" s="2">
        <v>1.289999962</v>
      </c>
      <c r="G51" s="2">
        <v>1.289999962</v>
      </c>
      <c r="H51" s="2">
        <v>0</v>
      </c>
      <c r="I51" s="2">
        <v>0</v>
      </c>
      <c r="J51" s="2">
        <v>0</v>
      </c>
      <c r="K51" s="2">
        <v>1.2799999710000001</v>
      </c>
      <c r="L51" s="2">
        <v>0.01</v>
      </c>
      <c r="M51" s="2">
        <v>0</v>
      </c>
      <c r="N51" s="2">
        <v>0</v>
      </c>
      <c r="O51" s="2">
        <v>112</v>
      </c>
      <c r="P51" s="2">
        <v>1328</v>
      </c>
      <c r="Q51" s="2">
        <f t="shared" si="2"/>
        <v>112</v>
      </c>
      <c r="R51" s="2">
        <f t="shared" si="3"/>
        <v>1440</v>
      </c>
      <c r="S51" t="str">
        <f t="shared" si="4"/>
        <v>Sedentary</v>
      </c>
      <c r="T51" s="2">
        <v>1350</v>
      </c>
    </row>
    <row r="52" spans="1:20" x14ac:dyDescent="0.25">
      <c r="A52" s="2">
        <v>1624580081</v>
      </c>
      <c r="B52" s="3">
        <v>42457</v>
      </c>
      <c r="C52" t="str">
        <f t="shared" si="0"/>
        <v>Monday</v>
      </c>
      <c r="D52" t="str">
        <f t="shared" si="1"/>
        <v>Weekday</v>
      </c>
      <c r="E52" s="2">
        <v>1905</v>
      </c>
      <c r="F52" s="2">
        <v>1.2400000099999999</v>
      </c>
      <c r="G52" s="2">
        <v>1.2400000099999999</v>
      </c>
      <c r="H52" s="2">
        <v>0</v>
      </c>
      <c r="I52" s="2">
        <v>0</v>
      </c>
      <c r="J52" s="2">
        <v>0</v>
      </c>
      <c r="K52" s="2">
        <v>1.2400000099999999</v>
      </c>
      <c r="L52" s="2">
        <v>0</v>
      </c>
      <c r="M52" s="2">
        <v>0</v>
      </c>
      <c r="N52" s="2">
        <v>0</v>
      </c>
      <c r="O52" s="2">
        <v>95</v>
      </c>
      <c r="P52" s="2">
        <v>1345</v>
      </c>
      <c r="Q52" s="2">
        <f t="shared" si="2"/>
        <v>95</v>
      </c>
      <c r="R52" s="2">
        <f t="shared" si="3"/>
        <v>1440</v>
      </c>
      <c r="S52" t="str">
        <f t="shared" si="4"/>
        <v>Sedentary</v>
      </c>
      <c r="T52" s="2">
        <v>1342</v>
      </c>
    </row>
    <row r="53" spans="1:20" x14ac:dyDescent="0.25">
      <c r="A53" s="2">
        <v>1624580081</v>
      </c>
      <c r="B53" s="3">
        <v>42458</v>
      </c>
      <c r="C53" t="str">
        <f t="shared" si="0"/>
        <v>Tuesday</v>
      </c>
      <c r="D53" t="str">
        <f t="shared" si="1"/>
        <v>Weekday</v>
      </c>
      <c r="E53" s="2">
        <v>1552</v>
      </c>
      <c r="F53" s="2">
        <v>1.0099999900000001</v>
      </c>
      <c r="G53" s="2">
        <v>1.0099999900000001</v>
      </c>
      <c r="H53" s="2">
        <v>0</v>
      </c>
      <c r="I53" s="2">
        <v>0</v>
      </c>
      <c r="J53" s="2">
        <v>0</v>
      </c>
      <c r="K53" s="2">
        <v>1</v>
      </c>
      <c r="L53" s="2">
        <v>0</v>
      </c>
      <c r="M53" s="2">
        <v>0</v>
      </c>
      <c r="N53" s="2">
        <v>0</v>
      </c>
      <c r="O53" s="2">
        <v>66</v>
      </c>
      <c r="P53" s="2">
        <v>1374</v>
      </c>
      <c r="Q53" s="2">
        <f t="shared" si="2"/>
        <v>66</v>
      </c>
      <c r="R53" s="2">
        <f t="shared" si="3"/>
        <v>1440</v>
      </c>
      <c r="S53" t="str">
        <f t="shared" si="4"/>
        <v>Sedentary</v>
      </c>
      <c r="T53" s="2">
        <v>1300</v>
      </c>
    </row>
    <row r="54" spans="1:20" x14ac:dyDescent="0.25">
      <c r="A54" s="2">
        <v>1624580081</v>
      </c>
      <c r="B54" s="3">
        <v>42459</v>
      </c>
      <c r="C54" t="str">
        <f t="shared" si="0"/>
        <v>Wednesday</v>
      </c>
      <c r="D54" t="str">
        <f t="shared" si="1"/>
        <v>Weekday</v>
      </c>
      <c r="E54" s="2">
        <v>1675</v>
      </c>
      <c r="F54" s="2">
        <v>1.0900000329999999</v>
      </c>
      <c r="G54" s="2">
        <v>1.0900000329999999</v>
      </c>
      <c r="H54" s="2">
        <v>0</v>
      </c>
      <c r="I54" s="2">
        <v>0</v>
      </c>
      <c r="J54" s="2">
        <v>0</v>
      </c>
      <c r="K54" s="2">
        <v>1.0900000329999999</v>
      </c>
      <c r="L54" s="2">
        <v>0</v>
      </c>
      <c r="M54" s="2">
        <v>0</v>
      </c>
      <c r="N54" s="2">
        <v>0</v>
      </c>
      <c r="O54" s="2">
        <v>84</v>
      </c>
      <c r="P54" s="2">
        <v>1356</v>
      </c>
      <c r="Q54" s="2">
        <f t="shared" si="2"/>
        <v>84</v>
      </c>
      <c r="R54" s="2">
        <f t="shared" si="3"/>
        <v>1440</v>
      </c>
      <c r="S54" t="str">
        <f t="shared" si="4"/>
        <v>Sedentary</v>
      </c>
      <c r="T54" s="2">
        <v>1313</v>
      </c>
    </row>
    <row r="55" spans="1:20" x14ac:dyDescent="0.25">
      <c r="A55" s="2">
        <v>1624580081</v>
      </c>
      <c r="B55" s="3">
        <v>42460</v>
      </c>
      <c r="C55" t="str">
        <f t="shared" si="0"/>
        <v>Thursday</v>
      </c>
      <c r="D55" t="str">
        <f t="shared" si="1"/>
        <v>Weekday</v>
      </c>
      <c r="E55" s="2">
        <v>4506</v>
      </c>
      <c r="F55" s="2">
        <v>2.9300000669999999</v>
      </c>
      <c r="G55" s="2">
        <v>2.9300000669999999</v>
      </c>
      <c r="H55" s="2">
        <v>0</v>
      </c>
      <c r="I55" s="2">
        <v>0.50999998999999996</v>
      </c>
      <c r="J55" s="2">
        <v>0.27000001099999998</v>
      </c>
      <c r="K55" s="2">
        <v>2.1500000950000002</v>
      </c>
      <c r="L55" s="2">
        <v>0.01</v>
      </c>
      <c r="M55" s="2">
        <v>7</v>
      </c>
      <c r="N55" s="2">
        <v>4</v>
      </c>
      <c r="O55" s="2">
        <v>144</v>
      </c>
      <c r="P55" s="2">
        <v>1285</v>
      </c>
      <c r="Q55" s="2">
        <f t="shared" si="2"/>
        <v>155</v>
      </c>
      <c r="R55" s="2">
        <f t="shared" si="3"/>
        <v>1440</v>
      </c>
      <c r="S55" t="str">
        <f t="shared" si="4"/>
        <v>Sedentary</v>
      </c>
      <c r="T55" s="2">
        <v>1498</v>
      </c>
    </row>
    <row r="56" spans="1:20" x14ac:dyDescent="0.25">
      <c r="A56" s="2">
        <v>1624580081</v>
      </c>
      <c r="B56" s="3">
        <v>42461</v>
      </c>
      <c r="C56" t="str">
        <f t="shared" si="0"/>
        <v>Friday</v>
      </c>
      <c r="D56" t="str">
        <f t="shared" si="1"/>
        <v>Weekday</v>
      </c>
      <c r="E56" s="2">
        <v>9218</v>
      </c>
      <c r="F56" s="2">
        <v>5.9899997709999999</v>
      </c>
      <c r="G56" s="2">
        <v>5.9899997709999999</v>
      </c>
      <c r="H56" s="2">
        <v>0</v>
      </c>
      <c r="I56" s="2">
        <v>0</v>
      </c>
      <c r="J56" s="2">
        <v>0</v>
      </c>
      <c r="K56" s="2">
        <v>5.9699997900000001</v>
      </c>
      <c r="L56" s="2">
        <v>0.01</v>
      </c>
      <c r="M56" s="2">
        <v>0</v>
      </c>
      <c r="N56" s="2">
        <v>0</v>
      </c>
      <c r="O56" s="2">
        <v>221</v>
      </c>
      <c r="P56" s="2">
        <v>1219</v>
      </c>
      <c r="Q56" s="2">
        <f t="shared" si="2"/>
        <v>221</v>
      </c>
      <c r="R56" s="2">
        <f t="shared" si="3"/>
        <v>1440</v>
      </c>
      <c r="S56" t="str">
        <f t="shared" si="4"/>
        <v>Fairly Active</v>
      </c>
      <c r="T56" s="2">
        <v>1541</v>
      </c>
    </row>
    <row r="57" spans="1:20" x14ac:dyDescent="0.25">
      <c r="A57" s="2">
        <v>1624580081</v>
      </c>
      <c r="B57" s="3">
        <v>42462</v>
      </c>
      <c r="C57" t="str">
        <f t="shared" si="0"/>
        <v>Saturday</v>
      </c>
      <c r="D57" t="str">
        <f t="shared" si="1"/>
        <v>Weekend</v>
      </c>
      <c r="E57" s="2">
        <v>1556</v>
      </c>
      <c r="F57" s="2">
        <v>1.0099999900000001</v>
      </c>
      <c r="G57" s="2">
        <v>1.0099999900000001</v>
      </c>
      <c r="H57" s="2">
        <v>0</v>
      </c>
      <c r="I57" s="2">
        <v>0</v>
      </c>
      <c r="J57" s="2">
        <v>0</v>
      </c>
      <c r="K57" s="2">
        <v>1.0099999900000001</v>
      </c>
      <c r="L57" s="2">
        <v>0.01</v>
      </c>
      <c r="M57" s="2">
        <v>0</v>
      </c>
      <c r="N57" s="2">
        <v>0</v>
      </c>
      <c r="O57" s="2">
        <v>88</v>
      </c>
      <c r="P57" s="2">
        <v>1352</v>
      </c>
      <c r="Q57" s="2">
        <f t="shared" si="2"/>
        <v>88</v>
      </c>
      <c r="R57" s="2">
        <f t="shared" si="3"/>
        <v>1440</v>
      </c>
      <c r="S57" t="str">
        <f t="shared" si="4"/>
        <v>Sedentary</v>
      </c>
      <c r="T57" s="2">
        <v>1327</v>
      </c>
    </row>
    <row r="58" spans="1:20" x14ac:dyDescent="0.25">
      <c r="A58" s="2">
        <v>1624580081</v>
      </c>
      <c r="B58" s="3">
        <v>42463</v>
      </c>
      <c r="C58" t="str">
        <f t="shared" si="0"/>
        <v>Sunday</v>
      </c>
      <c r="D58" t="str">
        <f t="shared" si="1"/>
        <v>Weekend</v>
      </c>
      <c r="E58" s="2">
        <v>2910</v>
      </c>
      <c r="F58" s="2">
        <v>1.8899999860000001</v>
      </c>
      <c r="G58" s="2">
        <v>1.8899999860000001</v>
      </c>
      <c r="H58" s="2">
        <v>0</v>
      </c>
      <c r="I58" s="2">
        <v>0</v>
      </c>
      <c r="J58" s="2">
        <v>0</v>
      </c>
      <c r="K58" s="2">
        <v>1.8799999949999999</v>
      </c>
      <c r="L58" s="2">
        <v>0.01</v>
      </c>
      <c r="M58" s="2">
        <v>0</v>
      </c>
      <c r="N58" s="2">
        <v>0</v>
      </c>
      <c r="O58" s="2">
        <v>157</v>
      </c>
      <c r="P58" s="2">
        <v>1283</v>
      </c>
      <c r="Q58" s="2">
        <f t="shared" si="2"/>
        <v>157</v>
      </c>
      <c r="R58" s="2">
        <f t="shared" si="3"/>
        <v>1440</v>
      </c>
      <c r="S58" t="str">
        <f t="shared" si="4"/>
        <v>Sedentary</v>
      </c>
      <c r="T58" s="2">
        <v>1452</v>
      </c>
    </row>
    <row r="59" spans="1:20" x14ac:dyDescent="0.25">
      <c r="A59" s="2">
        <v>1624580081</v>
      </c>
      <c r="B59" s="3">
        <v>42464</v>
      </c>
      <c r="C59" t="str">
        <f t="shared" si="0"/>
        <v>Monday</v>
      </c>
      <c r="D59" t="str">
        <f t="shared" si="1"/>
        <v>Weekday</v>
      </c>
      <c r="E59" s="2">
        <v>18464</v>
      </c>
      <c r="F59" s="2">
        <v>12</v>
      </c>
      <c r="G59" s="2">
        <v>12</v>
      </c>
      <c r="H59" s="2">
        <v>0</v>
      </c>
      <c r="I59" s="2">
        <v>0</v>
      </c>
      <c r="J59" s="2">
        <v>0</v>
      </c>
      <c r="K59" s="2">
        <v>12</v>
      </c>
      <c r="L59" s="2">
        <v>0</v>
      </c>
      <c r="M59" s="2">
        <v>0</v>
      </c>
      <c r="N59" s="2">
        <v>0</v>
      </c>
      <c r="O59" s="2">
        <v>270</v>
      </c>
      <c r="P59" s="2">
        <v>1170</v>
      </c>
      <c r="Q59" s="2">
        <f t="shared" si="2"/>
        <v>270</v>
      </c>
      <c r="R59" s="2">
        <f t="shared" si="3"/>
        <v>1440</v>
      </c>
      <c r="S59" t="str">
        <f t="shared" si="4"/>
        <v>Highly Active</v>
      </c>
      <c r="T59" s="2">
        <v>1574</v>
      </c>
    </row>
    <row r="60" spans="1:20" x14ac:dyDescent="0.25">
      <c r="A60" s="2">
        <v>1624580081</v>
      </c>
      <c r="B60" s="3">
        <v>42465</v>
      </c>
      <c r="C60" t="str">
        <f t="shared" si="0"/>
        <v>Tuesday</v>
      </c>
      <c r="D60" t="str">
        <f t="shared" si="1"/>
        <v>Weekday</v>
      </c>
      <c r="E60" s="2">
        <v>1335</v>
      </c>
      <c r="F60" s="2">
        <v>0.87000000499999997</v>
      </c>
      <c r="G60" s="2">
        <v>0.87000000499999997</v>
      </c>
      <c r="H60" s="2">
        <v>0</v>
      </c>
      <c r="I60" s="2">
        <v>0</v>
      </c>
      <c r="J60" s="2">
        <v>0</v>
      </c>
      <c r="K60" s="2">
        <v>0.87000000499999997</v>
      </c>
      <c r="L60" s="2">
        <v>0</v>
      </c>
      <c r="M60" s="2">
        <v>0</v>
      </c>
      <c r="N60" s="2">
        <v>0</v>
      </c>
      <c r="O60" s="2">
        <v>74</v>
      </c>
      <c r="P60" s="2">
        <v>1366</v>
      </c>
      <c r="Q60" s="2">
        <f t="shared" si="2"/>
        <v>74</v>
      </c>
      <c r="R60" s="2">
        <f t="shared" si="3"/>
        <v>1440</v>
      </c>
      <c r="S60" t="str">
        <f t="shared" si="4"/>
        <v>Sedentary</v>
      </c>
      <c r="T60" s="2">
        <v>1308</v>
      </c>
    </row>
    <row r="61" spans="1:20" x14ac:dyDescent="0.25">
      <c r="A61" s="2">
        <v>1624580081</v>
      </c>
      <c r="B61" s="3">
        <v>42466</v>
      </c>
      <c r="C61" t="str">
        <f t="shared" si="0"/>
        <v>Wednesday</v>
      </c>
      <c r="D61" t="str">
        <f t="shared" si="1"/>
        <v>Weekday</v>
      </c>
      <c r="E61" s="2">
        <v>1004</v>
      </c>
      <c r="F61" s="2">
        <v>0.64999997600000003</v>
      </c>
      <c r="G61" s="2">
        <v>0.64999997600000003</v>
      </c>
      <c r="H61" s="2">
        <v>0</v>
      </c>
      <c r="I61" s="2">
        <v>0</v>
      </c>
      <c r="J61" s="2">
        <v>0</v>
      </c>
      <c r="K61" s="2">
        <v>0.64999997600000003</v>
      </c>
      <c r="L61" s="2">
        <v>0</v>
      </c>
      <c r="M61" s="2">
        <v>0</v>
      </c>
      <c r="N61" s="2">
        <v>0</v>
      </c>
      <c r="O61" s="2">
        <v>55</v>
      </c>
      <c r="P61" s="2">
        <v>1385</v>
      </c>
      <c r="Q61" s="2">
        <f t="shared" si="2"/>
        <v>55</v>
      </c>
      <c r="R61" s="2">
        <f t="shared" si="3"/>
        <v>1440</v>
      </c>
      <c r="S61" t="str">
        <f t="shared" si="4"/>
        <v>Sedentary</v>
      </c>
      <c r="T61" s="2">
        <v>1276</v>
      </c>
    </row>
    <row r="62" spans="1:20" x14ac:dyDescent="0.25">
      <c r="A62" s="2">
        <v>1624580081</v>
      </c>
      <c r="B62" s="3">
        <v>42467</v>
      </c>
      <c r="C62" t="str">
        <f t="shared" si="0"/>
        <v>Thursday</v>
      </c>
      <c r="D62" t="str">
        <f t="shared" si="1"/>
        <v>Weekday</v>
      </c>
      <c r="E62" s="2">
        <v>1111</v>
      </c>
      <c r="F62" s="2">
        <v>0.72000002900000004</v>
      </c>
      <c r="G62" s="2">
        <v>0.72000002900000004</v>
      </c>
      <c r="H62" s="2">
        <v>0</v>
      </c>
      <c r="I62" s="2">
        <v>0</v>
      </c>
      <c r="J62" s="2">
        <v>0</v>
      </c>
      <c r="K62" s="2">
        <v>0.72000002900000004</v>
      </c>
      <c r="L62" s="2">
        <v>0</v>
      </c>
      <c r="M62" s="2">
        <v>0</v>
      </c>
      <c r="N62" s="2">
        <v>0</v>
      </c>
      <c r="O62" s="2">
        <v>54</v>
      </c>
      <c r="P62" s="2">
        <v>1386</v>
      </c>
      <c r="Q62" s="2">
        <f t="shared" si="2"/>
        <v>54</v>
      </c>
      <c r="R62" s="2">
        <f t="shared" si="3"/>
        <v>1440</v>
      </c>
      <c r="S62" t="str">
        <f t="shared" si="4"/>
        <v>Sedentary</v>
      </c>
      <c r="T62" s="2">
        <v>1278</v>
      </c>
    </row>
    <row r="63" spans="1:20" x14ac:dyDescent="0.25">
      <c r="A63" s="2">
        <v>1624580081</v>
      </c>
      <c r="B63" s="3">
        <v>42468</v>
      </c>
      <c r="C63" t="str">
        <f t="shared" si="0"/>
        <v>Friday</v>
      </c>
      <c r="D63" t="str">
        <f t="shared" si="1"/>
        <v>Weekday</v>
      </c>
      <c r="E63" s="2">
        <v>6344</v>
      </c>
      <c r="F63" s="2">
        <v>4.1199998860000004</v>
      </c>
      <c r="G63" s="2">
        <v>4.1199998860000004</v>
      </c>
      <c r="H63" s="2">
        <v>0</v>
      </c>
      <c r="I63" s="2">
        <v>0</v>
      </c>
      <c r="J63" s="2">
        <v>0</v>
      </c>
      <c r="K63" s="2">
        <v>4.0999999049999998</v>
      </c>
      <c r="L63" s="2">
        <v>0</v>
      </c>
      <c r="M63" s="2">
        <v>0</v>
      </c>
      <c r="N63" s="2">
        <v>0</v>
      </c>
      <c r="O63" s="2">
        <v>143</v>
      </c>
      <c r="P63" s="2">
        <v>1297</v>
      </c>
      <c r="Q63" s="2">
        <f t="shared" si="2"/>
        <v>143</v>
      </c>
      <c r="R63" s="2">
        <f t="shared" si="3"/>
        <v>1440</v>
      </c>
      <c r="S63" t="str">
        <f t="shared" si="4"/>
        <v>Lightly Active</v>
      </c>
      <c r="T63" s="2">
        <v>1409</v>
      </c>
    </row>
    <row r="64" spans="1:20" x14ac:dyDescent="0.25">
      <c r="A64" s="2">
        <v>1624580081</v>
      </c>
      <c r="B64" s="3">
        <v>42469</v>
      </c>
      <c r="C64" t="str">
        <f t="shared" si="0"/>
        <v>Saturday</v>
      </c>
      <c r="D64" t="str">
        <f t="shared" si="1"/>
        <v>Weekend</v>
      </c>
      <c r="E64" s="2">
        <v>3572</v>
      </c>
      <c r="F64" s="2">
        <v>2.3199999330000001</v>
      </c>
      <c r="G64" s="2">
        <v>2.3199999330000001</v>
      </c>
      <c r="H64" s="2">
        <v>0</v>
      </c>
      <c r="I64" s="2">
        <v>0</v>
      </c>
      <c r="J64" s="2">
        <v>0</v>
      </c>
      <c r="K64" s="2">
        <v>2.289999962</v>
      </c>
      <c r="L64" s="2">
        <v>2.9999998999999999E-2</v>
      </c>
      <c r="M64" s="2">
        <v>0</v>
      </c>
      <c r="N64" s="2">
        <v>0</v>
      </c>
      <c r="O64" s="2">
        <v>122</v>
      </c>
      <c r="P64" s="2">
        <v>1318</v>
      </c>
      <c r="Q64" s="2">
        <f t="shared" si="2"/>
        <v>122</v>
      </c>
      <c r="R64" s="2">
        <f t="shared" si="3"/>
        <v>1440</v>
      </c>
      <c r="S64" t="str">
        <f t="shared" si="4"/>
        <v>Sedentary</v>
      </c>
      <c r="T64" s="2">
        <v>1370</v>
      </c>
    </row>
    <row r="65" spans="1:20" x14ac:dyDescent="0.25">
      <c r="A65" s="2">
        <v>1624580081</v>
      </c>
      <c r="B65" s="3">
        <v>42470</v>
      </c>
      <c r="C65" t="str">
        <f t="shared" si="0"/>
        <v>Sunday</v>
      </c>
      <c r="D65" t="str">
        <f t="shared" si="1"/>
        <v>Weekend</v>
      </c>
      <c r="E65" s="2">
        <v>3910</v>
      </c>
      <c r="F65" s="2">
        <v>2.539999962</v>
      </c>
      <c r="G65" s="2">
        <v>2.539999962</v>
      </c>
      <c r="H65" s="2">
        <v>0</v>
      </c>
      <c r="I65" s="2">
        <v>0.469999999</v>
      </c>
      <c r="J65" s="2">
        <v>0.25</v>
      </c>
      <c r="K65" s="2">
        <v>1.809999943</v>
      </c>
      <c r="L65" s="2">
        <v>0.01</v>
      </c>
      <c r="M65" s="2">
        <v>7</v>
      </c>
      <c r="N65" s="2">
        <v>7</v>
      </c>
      <c r="O65" s="2">
        <v>186</v>
      </c>
      <c r="P65" s="2">
        <v>1240</v>
      </c>
      <c r="Q65" s="2">
        <f t="shared" si="2"/>
        <v>200</v>
      </c>
      <c r="R65" s="2">
        <f t="shared" si="3"/>
        <v>1440</v>
      </c>
      <c r="S65" t="str">
        <f t="shared" si="4"/>
        <v>Sedentary</v>
      </c>
      <c r="T65" s="2">
        <v>1555</v>
      </c>
    </row>
    <row r="66" spans="1:20" x14ac:dyDescent="0.25">
      <c r="A66" s="2">
        <v>1624580081</v>
      </c>
      <c r="B66" s="3">
        <v>42471</v>
      </c>
      <c r="C66" t="str">
        <f t="shared" si="0"/>
        <v>Monday</v>
      </c>
      <c r="D66" t="str">
        <f t="shared" si="1"/>
        <v>Weekday</v>
      </c>
      <c r="E66" s="2">
        <v>10000</v>
      </c>
      <c r="F66" s="2">
        <v>6.5</v>
      </c>
      <c r="G66" s="2">
        <v>6.5</v>
      </c>
      <c r="H66" s="2">
        <v>0</v>
      </c>
      <c r="I66" s="2">
        <v>0</v>
      </c>
      <c r="J66" s="2">
        <v>0</v>
      </c>
      <c r="K66" s="2">
        <v>6.5</v>
      </c>
      <c r="L66" s="2">
        <v>0</v>
      </c>
      <c r="M66" s="2">
        <v>0</v>
      </c>
      <c r="N66" s="2">
        <v>0</v>
      </c>
      <c r="O66" s="2">
        <v>172</v>
      </c>
      <c r="P66" s="2">
        <v>1268</v>
      </c>
      <c r="Q66" s="2">
        <f t="shared" si="2"/>
        <v>172</v>
      </c>
      <c r="R66" s="2">
        <f t="shared" ref="R66:R128" si="5">SUM(M66:P66)</f>
        <v>1440</v>
      </c>
      <c r="S66" t="str">
        <f t="shared" si="4"/>
        <v>Highly Active</v>
      </c>
      <c r="T66" s="2">
        <v>1469</v>
      </c>
    </row>
    <row r="67" spans="1:20" x14ac:dyDescent="0.25">
      <c r="A67" s="2">
        <v>1624580081</v>
      </c>
      <c r="B67" s="3">
        <v>42472</v>
      </c>
      <c r="C67" t="str">
        <f t="shared" ref="C67:C129" si="6">CHOOSE(WEEKDAY(B67), "Sunday", "Monday", "Tuesday", "Wednesday", "Thursday", "Friday", "Saturday")</f>
        <v>Tuesday</v>
      </c>
      <c r="D67" t="str">
        <f t="shared" ref="D67:D130" si="7">IF(OR(C67="Saturday", C67="Sunday"), "Weekend", "Weekday")</f>
        <v>Weekday</v>
      </c>
      <c r="E67" s="2">
        <v>6627</v>
      </c>
      <c r="F67" s="2">
        <v>4.3099999430000002</v>
      </c>
      <c r="G67" s="2">
        <v>4.3099999430000002</v>
      </c>
      <c r="H67" s="2">
        <v>0</v>
      </c>
      <c r="I67" s="2">
        <v>0</v>
      </c>
      <c r="J67" s="2">
        <v>0</v>
      </c>
      <c r="K67" s="2">
        <v>4.3099999430000002</v>
      </c>
      <c r="L67" s="2">
        <v>0</v>
      </c>
      <c r="M67" s="2">
        <v>0</v>
      </c>
      <c r="N67" s="2">
        <v>0</v>
      </c>
      <c r="O67" s="2">
        <v>89</v>
      </c>
      <c r="P67" s="2">
        <v>604</v>
      </c>
      <c r="Q67" s="2">
        <f t="shared" ref="Q67:Q129" si="8">SUM(M67:O67)</f>
        <v>89</v>
      </c>
      <c r="R67" s="2">
        <f t="shared" si="5"/>
        <v>693</v>
      </c>
      <c r="S67" t="str">
        <f t="shared" ref="S67:S130" si="9">IF(E67&lt;5000, "Sedentary", IF(E67&lt;7500, "Lightly Active", IF(E67&lt;10000, "Fairly Active", "Highly Active")))</f>
        <v>Lightly Active</v>
      </c>
      <c r="T67" s="2">
        <v>706</v>
      </c>
    </row>
    <row r="68" spans="1:20" x14ac:dyDescent="0.25">
      <c r="A68" s="2">
        <v>1624580081</v>
      </c>
      <c r="B68" s="3">
        <v>42473</v>
      </c>
      <c r="C68" t="str">
        <f t="shared" si="6"/>
        <v>Wednesday</v>
      </c>
      <c r="D68" t="str">
        <f t="shared" si="7"/>
        <v>Weekday</v>
      </c>
      <c r="E68" s="2">
        <v>7007</v>
      </c>
      <c r="F68" s="2">
        <v>4.5500001909999996</v>
      </c>
      <c r="G68" s="2">
        <v>4.5500001909999996</v>
      </c>
      <c r="H68" s="2">
        <v>0</v>
      </c>
      <c r="I68" s="2">
        <v>0</v>
      </c>
      <c r="J68" s="2">
        <v>0</v>
      </c>
      <c r="K68" s="2">
        <v>4.5500001909999996</v>
      </c>
      <c r="L68" s="2">
        <v>0</v>
      </c>
      <c r="M68" s="2">
        <v>0</v>
      </c>
      <c r="N68" s="2">
        <v>0</v>
      </c>
      <c r="O68" s="2">
        <v>148</v>
      </c>
      <c r="P68" s="2">
        <v>1292</v>
      </c>
      <c r="Q68" s="2">
        <f t="shared" si="8"/>
        <v>148</v>
      </c>
      <c r="R68" s="2">
        <f t="shared" si="5"/>
        <v>1440</v>
      </c>
      <c r="S68" t="str">
        <f t="shared" si="9"/>
        <v>Lightly Active</v>
      </c>
      <c r="T68" s="2">
        <v>1411</v>
      </c>
    </row>
    <row r="69" spans="1:20" x14ac:dyDescent="0.25">
      <c r="A69" s="2">
        <v>1624580081</v>
      </c>
      <c r="B69" s="3">
        <v>42474</v>
      </c>
      <c r="C69" t="str">
        <f t="shared" si="6"/>
        <v>Thursday</v>
      </c>
      <c r="D69" t="str">
        <f t="shared" si="7"/>
        <v>Weekday</v>
      </c>
      <c r="E69" s="2">
        <v>9107</v>
      </c>
      <c r="F69" s="2">
        <v>5.920000076</v>
      </c>
      <c r="G69" s="2">
        <v>5.920000076</v>
      </c>
      <c r="H69" s="2">
        <v>0</v>
      </c>
      <c r="I69" s="2">
        <v>0</v>
      </c>
      <c r="J69" s="2">
        <v>0</v>
      </c>
      <c r="K69" s="2">
        <v>5.9099998469999999</v>
      </c>
      <c r="L69" s="2">
        <v>0.01</v>
      </c>
      <c r="M69" s="2">
        <v>0</v>
      </c>
      <c r="N69" s="2">
        <v>0</v>
      </c>
      <c r="O69" s="2">
        <v>236</v>
      </c>
      <c r="P69" s="2">
        <v>1204</v>
      </c>
      <c r="Q69" s="2">
        <f t="shared" si="8"/>
        <v>236</v>
      </c>
      <c r="R69" s="2">
        <f t="shared" si="5"/>
        <v>1440</v>
      </c>
      <c r="S69" t="str">
        <f t="shared" si="9"/>
        <v>Fairly Active</v>
      </c>
      <c r="T69" s="2">
        <v>1572</v>
      </c>
    </row>
    <row r="70" spans="1:20" x14ac:dyDescent="0.25">
      <c r="A70" s="2">
        <v>1624580081</v>
      </c>
      <c r="B70" s="3">
        <v>42475</v>
      </c>
      <c r="C70" t="str">
        <f t="shared" si="6"/>
        <v>Friday</v>
      </c>
      <c r="D70" t="str">
        <f t="shared" si="7"/>
        <v>Weekday</v>
      </c>
      <c r="E70" s="2">
        <v>1510</v>
      </c>
      <c r="F70" s="2">
        <v>0.980000019</v>
      </c>
      <c r="G70" s="2">
        <v>0.980000019</v>
      </c>
      <c r="H70" s="2">
        <v>0</v>
      </c>
      <c r="I70" s="2">
        <v>0</v>
      </c>
      <c r="J70" s="2">
        <v>0</v>
      </c>
      <c r="K70" s="2">
        <v>0.97000002900000004</v>
      </c>
      <c r="L70" s="2">
        <v>0</v>
      </c>
      <c r="M70" s="2">
        <v>0</v>
      </c>
      <c r="N70" s="2">
        <v>0</v>
      </c>
      <c r="O70" s="2">
        <v>96</v>
      </c>
      <c r="P70" s="2">
        <v>1344</v>
      </c>
      <c r="Q70" s="2">
        <f t="shared" si="8"/>
        <v>96</v>
      </c>
      <c r="R70" s="2">
        <f t="shared" si="5"/>
        <v>1440</v>
      </c>
      <c r="S70" t="str">
        <f t="shared" si="9"/>
        <v>Sedentary</v>
      </c>
      <c r="T70" s="2">
        <v>1344</v>
      </c>
    </row>
    <row r="71" spans="1:20" x14ac:dyDescent="0.25">
      <c r="A71" s="2">
        <v>1624580081</v>
      </c>
      <c r="B71" s="3">
        <v>42476</v>
      </c>
      <c r="C71" t="str">
        <f t="shared" si="6"/>
        <v>Saturday</v>
      </c>
      <c r="D71" t="str">
        <f t="shared" si="7"/>
        <v>Weekend</v>
      </c>
      <c r="E71" s="2">
        <v>5370</v>
      </c>
      <c r="F71" s="2">
        <v>3.4900000100000002</v>
      </c>
      <c r="G71" s="2">
        <v>3.4900000100000002</v>
      </c>
      <c r="H71" s="2">
        <v>0</v>
      </c>
      <c r="I71" s="2">
        <v>0</v>
      </c>
      <c r="J71" s="2">
        <v>0</v>
      </c>
      <c r="K71" s="2">
        <v>3.4900000100000002</v>
      </c>
      <c r="L71" s="2">
        <v>0</v>
      </c>
      <c r="M71" s="2">
        <v>0</v>
      </c>
      <c r="N71" s="2">
        <v>0</v>
      </c>
      <c r="O71" s="2">
        <v>176</v>
      </c>
      <c r="P71" s="2">
        <v>1264</v>
      </c>
      <c r="Q71" s="2">
        <f t="shared" si="8"/>
        <v>176</v>
      </c>
      <c r="R71" s="2">
        <f t="shared" si="5"/>
        <v>1440</v>
      </c>
      <c r="S71" t="str">
        <f t="shared" si="9"/>
        <v>Lightly Active</v>
      </c>
      <c r="T71" s="2">
        <v>1463</v>
      </c>
    </row>
    <row r="72" spans="1:20" x14ac:dyDescent="0.25">
      <c r="A72" s="2">
        <v>1624580081</v>
      </c>
      <c r="B72" s="3">
        <v>42477</v>
      </c>
      <c r="C72" t="str">
        <f t="shared" si="6"/>
        <v>Sunday</v>
      </c>
      <c r="D72" t="str">
        <f t="shared" si="7"/>
        <v>Weekend</v>
      </c>
      <c r="E72" s="2">
        <v>6175</v>
      </c>
      <c r="F72" s="2">
        <v>4.0599999430000002</v>
      </c>
      <c r="G72" s="2">
        <v>4.0599999430000002</v>
      </c>
      <c r="H72" s="2">
        <v>0</v>
      </c>
      <c r="I72" s="2">
        <v>1.0299999710000001</v>
      </c>
      <c r="J72" s="2">
        <v>1.519999981</v>
      </c>
      <c r="K72" s="2">
        <v>1.4900000099999999</v>
      </c>
      <c r="L72" s="2">
        <v>0.01</v>
      </c>
      <c r="M72" s="2">
        <v>15</v>
      </c>
      <c r="N72" s="2">
        <v>22</v>
      </c>
      <c r="O72" s="2">
        <v>127</v>
      </c>
      <c r="P72" s="2">
        <v>1276</v>
      </c>
      <c r="Q72" s="2">
        <f t="shared" si="8"/>
        <v>164</v>
      </c>
      <c r="R72" s="2">
        <f t="shared" si="5"/>
        <v>1440</v>
      </c>
      <c r="S72" t="str">
        <f t="shared" si="9"/>
        <v>Lightly Active</v>
      </c>
      <c r="T72" s="2">
        <v>1554</v>
      </c>
    </row>
    <row r="73" spans="1:20" x14ac:dyDescent="0.25">
      <c r="A73" s="2">
        <v>1624580081</v>
      </c>
      <c r="B73" s="3">
        <v>42478</v>
      </c>
      <c r="C73" t="str">
        <f t="shared" si="6"/>
        <v>Monday</v>
      </c>
      <c r="D73" t="str">
        <f t="shared" si="7"/>
        <v>Weekday</v>
      </c>
      <c r="E73" s="2">
        <v>10536</v>
      </c>
      <c r="F73" s="2">
        <v>7.4099998469999999</v>
      </c>
      <c r="G73" s="2">
        <v>7.4099998469999999</v>
      </c>
      <c r="H73" s="2">
        <v>0</v>
      </c>
      <c r="I73" s="2">
        <v>2.1500000950000002</v>
      </c>
      <c r="J73" s="2">
        <v>0.62000000499999997</v>
      </c>
      <c r="K73" s="2">
        <v>4.6199998860000004</v>
      </c>
      <c r="L73" s="2">
        <v>0.01</v>
      </c>
      <c r="M73" s="2">
        <v>17</v>
      </c>
      <c r="N73" s="2">
        <v>7</v>
      </c>
      <c r="O73" s="2">
        <v>202</v>
      </c>
      <c r="P73" s="2">
        <v>1214</v>
      </c>
      <c r="Q73" s="2">
        <f t="shared" si="8"/>
        <v>226</v>
      </c>
      <c r="R73" s="2">
        <f t="shared" si="5"/>
        <v>1440</v>
      </c>
      <c r="S73" t="str">
        <f t="shared" si="9"/>
        <v>Highly Active</v>
      </c>
      <c r="T73" s="2">
        <v>1604</v>
      </c>
    </row>
    <row r="74" spans="1:20" x14ac:dyDescent="0.25">
      <c r="A74" s="2">
        <v>1624580081</v>
      </c>
      <c r="B74" s="3">
        <v>42479</v>
      </c>
      <c r="C74" t="str">
        <f t="shared" si="6"/>
        <v>Tuesday</v>
      </c>
      <c r="D74" t="str">
        <f t="shared" si="7"/>
        <v>Weekday</v>
      </c>
      <c r="E74" s="2">
        <v>2916</v>
      </c>
      <c r="F74" s="2">
        <v>1.8999999759999999</v>
      </c>
      <c r="G74" s="2">
        <v>1.8999999759999999</v>
      </c>
      <c r="H74" s="2">
        <v>0</v>
      </c>
      <c r="I74" s="2">
        <v>0</v>
      </c>
      <c r="J74" s="2">
        <v>0</v>
      </c>
      <c r="K74" s="2">
        <v>1.8999999759999999</v>
      </c>
      <c r="L74" s="2">
        <v>0</v>
      </c>
      <c r="M74" s="2">
        <v>0</v>
      </c>
      <c r="N74" s="2">
        <v>0</v>
      </c>
      <c r="O74" s="2">
        <v>141</v>
      </c>
      <c r="P74" s="2">
        <v>1299</v>
      </c>
      <c r="Q74" s="2">
        <f t="shared" si="8"/>
        <v>141</v>
      </c>
      <c r="R74" s="2">
        <f t="shared" si="5"/>
        <v>1440</v>
      </c>
      <c r="S74" t="str">
        <f t="shared" si="9"/>
        <v>Sedentary</v>
      </c>
      <c r="T74" s="2">
        <v>1435</v>
      </c>
    </row>
    <row r="75" spans="1:20" x14ac:dyDescent="0.25">
      <c r="A75" s="2">
        <v>1624580081</v>
      </c>
      <c r="B75" s="3">
        <v>42480</v>
      </c>
      <c r="C75" t="str">
        <f t="shared" si="6"/>
        <v>Wednesday</v>
      </c>
      <c r="D75" t="str">
        <f t="shared" si="7"/>
        <v>Weekday</v>
      </c>
      <c r="E75" s="2">
        <v>4974</v>
      </c>
      <c r="F75" s="2">
        <v>3.2300000190000002</v>
      </c>
      <c r="G75" s="2">
        <v>3.2300000190000002</v>
      </c>
      <c r="H75" s="2">
        <v>0</v>
      </c>
      <c r="I75" s="2">
        <v>0</v>
      </c>
      <c r="J75" s="2">
        <v>0</v>
      </c>
      <c r="K75" s="2">
        <v>3.2300000190000002</v>
      </c>
      <c r="L75" s="2">
        <v>0</v>
      </c>
      <c r="M75" s="2">
        <v>0</v>
      </c>
      <c r="N75" s="2">
        <v>0</v>
      </c>
      <c r="O75" s="2">
        <v>151</v>
      </c>
      <c r="P75" s="2">
        <v>1289</v>
      </c>
      <c r="Q75" s="2">
        <f t="shared" si="8"/>
        <v>151</v>
      </c>
      <c r="R75" s="2">
        <f t="shared" si="5"/>
        <v>1440</v>
      </c>
      <c r="S75" t="str">
        <f t="shared" si="9"/>
        <v>Sedentary</v>
      </c>
      <c r="T75" s="2">
        <v>1446</v>
      </c>
    </row>
    <row r="76" spans="1:20" x14ac:dyDescent="0.25">
      <c r="A76" s="2">
        <v>1624580081</v>
      </c>
      <c r="B76" s="3">
        <v>42481</v>
      </c>
      <c r="C76" t="str">
        <f t="shared" si="6"/>
        <v>Thursday</v>
      </c>
      <c r="D76" t="str">
        <f t="shared" si="7"/>
        <v>Weekday</v>
      </c>
      <c r="E76" s="2">
        <v>6349</v>
      </c>
      <c r="F76" s="2">
        <v>4.1300001139999996</v>
      </c>
      <c r="G76" s="2">
        <v>4.1300001139999996</v>
      </c>
      <c r="H76" s="2">
        <v>0</v>
      </c>
      <c r="I76" s="2">
        <v>0</v>
      </c>
      <c r="J76" s="2">
        <v>0</v>
      </c>
      <c r="K76" s="2">
        <v>4.1100001339999999</v>
      </c>
      <c r="L76" s="2">
        <v>0.02</v>
      </c>
      <c r="M76" s="2">
        <v>0</v>
      </c>
      <c r="N76" s="2">
        <v>0</v>
      </c>
      <c r="O76" s="2">
        <v>186</v>
      </c>
      <c r="P76" s="2">
        <v>1254</v>
      </c>
      <c r="Q76" s="2">
        <f t="shared" si="8"/>
        <v>186</v>
      </c>
      <c r="R76" s="2">
        <f t="shared" si="5"/>
        <v>1440</v>
      </c>
      <c r="S76" t="str">
        <f t="shared" si="9"/>
        <v>Lightly Active</v>
      </c>
      <c r="T76" s="2">
        <v>1467</v>
      </c>
    </row>
    <row r="77" spans="1:20" x14ac:dyDescent="0.25">
      <c r="A77" s="2">
        <v>1624580081</v>
      </c>
      <c r="B77" s="3">
        <v>42482</v>
      </c>
      <c r="C77" t="str">
        <f t="shared" si="6"/>
        <v>Friday</v>
      </c>
      <c r="D77" t="str">
        <f t="shared" si="7"/>
        <v>Weekday</v>
      </c>
      <c r="E77" s="2">
        <v>4026</v>
      </c>
      <c r="F77" s="2">
        <v>2.619999886</v>
      </c>
      <c r="G77" s="2">
        <v>2.619999886</v>
      </c>
      <c r="H77" s="2">
        <v>0</v>
      </c>
      <c r="I77" s="2">
        <v>0</v>
      </c>
      <c r="J77" s="2">
        <v>0</v>
      </c>
      <c r="K77" s="2">
        <v>2.5999999049999998</v>
      </c>
      <c r="L77" s="2">
        <v>0</v>
      </c>
      <c r="M77" s="2">
        <v>0</v>
      </c>
      <c r="N77" s="2">
        <v>0</v>
      </c>
      <c r="O77" s="2">
        <v>199</v>
      </c>
      <c r="P77" s="2">
        <v>1241</v>
      </c>
      <c r="Q77" s="2">
        <f t="shared" si="8"/>
        <v>199</v>
      </c>
      <c r="R77" s="2">
        <f t="shared" si="5"/>
        <v>1440</v>
      </c>
      <c r="S77" t="str">
        <f t="shared" si="9"/>
        <v>Sedentary</v>
      </c>
      <c r="T77" s="2">
        <v>1470</v>
      </c>
    </row>
    <row r="78" spans="1:20" x14ac:dyDescent="0.25">
      <c r="A78" s="2">
        <v>1624580081</v>
      </c>
      <c r="B78" s="3">
        <v>42483</v>
      </c>
      <c r="C78" t="str">
        <f t="shared" si="6"/>
        <v>Saturday</v>
      </c>
      <c r="D78" t="str">
        <f t="shared" si="7"/>
        <v>Weekend</v>
      </c>
      <c r="E78" s="2">
        <v>8538</v>
      </c>
      <c r="F78" s="2">
        <v>5.5500001909999996</v>
      </c>
      <c r="G78" s="2">
        <v>5.5500001909999996</v>
      </c>
      <c r="H78" s="2">
        <v>0</v>
      </c>
      <c r="I78" s="2">
        <v>0</v>
      </c>
      <c r="J78" s="2">
        <v>0</v>
      </c>
      <c r="K78" s="2">
        <v>5.5399999619999996</v>
      </c>
      <c r="L78" s="2">
        <v>0.01</v>
      </c>
      <c r="M78" s="2">
        <v>0</v>
      </c>
      <c r="N78" s="2">
        <v>0</v>
      </c>
      <c r="O78" s="2">
        <v>227</v>
      </c>
      <c r="P78" s="2">
        <v>1213</v>
      </c>
      <c r="Q78" s="2">
        <f t="shared" si="8"/>
        <v>227</v>
      </c>
      <c r="R78" s="2">
        <f t="shared" si="5"/>
        <v>1440</v>
      </c>
      <c r="S78" t="str">
        <f t="shared" si="9"/>
        <v>Fairly Active</v>
      </c>
      <c r="T78" s="2">
        <v>1562</v>
      </c>
    </row>
    <row r="79" spans="1:20" x14ac:dyDescent="0.25">
      <c r="A79" s="2">
        <v>1624580081</v>
      </c>
      <c r="B79" s="3">
        <v>42484</v>
      </c>
      <c r="C79" t="str">
        <f t="shared" si="6"/>
        <v>Sunday</v>
      </c>
      <c r="D79" t="str">
        <f t="shared" si="7"/>
        <v>Weekend</v>
      </c>
      <c r="E79" s="2">
        <v>6076</v>
      </c>
      <c r="F79" s="2">
        <v>3.9500000480000002</v>
      </c>
      <c r="G79" s="2">
        <v>3.9500000480000002</v>
      </c>
      <c r="H79" s="2">
        <v>0</v>
      </c>
      <c r="I79" s="2">
        <v>1.1499999759999999</v>
      </c>
      <c r="J79" s="2">
        <v>0.91000002599999996</v>
      </c>
      <c r="K79" s="2">
        <v>1.8899999860000001</v>
      </c>
      <c r="L79" s="2">
        <v>0</v>
      </c>
      <c r="M79" s="2">
        <v>16</v>
      </c>
      <c r="N79" s="2">
        <v>18</v>
      </c>
      <c r="O79" s="2">
        <v>185</v>
      </c>
      <c r="P79" s="2">
        <v>1221</v>
      </c>
      <c r="Q79" s="2">
        <f t="shared" si="8"/>
        <v>219</v>
      </c>
      <c r="R79" s="2">
        <f t="shared" si="5"/>
        <v>1440</v>
      </c>
      <c r="S79" t="str">
        <f t="shared" si="9"/>
        <v>Lightly Active</v>
      </c>
      <c r="T79" s="2">
        <v>1617</v>
      </c>
    </row>
    <row r="80" spans="1:20" x14ac:dyDescent="0.25">
      <c r="A80" s="2">
        <v>1624580081</v>
      </c>
      <c r="B80" s="3">
        <v>42485</v>
      </c>
      <c r="C80" t="str">
        <f t="shared" si="6"/>
        <v>Monday</v>
      </c>
      <c r="D80" t="str">
        <f t="shared" si="7"/>
        <v>Weekday</v>
      </c>
      <c r="E80" s="2">
        <v>6497</v>
      </c>
      <c r="F80" s="2">
        <v>4.2199997900000001</v>
      </c>
      <c r="G80" s="2">
        <v>4.2199997900000001</v>
      </c>
      <c r="H80" s="2">
        <v>0</v>
      </c>
      <c r="I80" s="2">
        <v>0</v>
      </c>
      <c r="J80" s="2">
        <v>0</v>
      </c>
      <c r="K80" s="2">
        <v>4.1999998090000004</v>
      </c>
      <c r="L80" s="2">
        <v>0.02</v>
      </c>
      <c r="M80" s="2">
        <v>0</v>
      </c>
      <c r="N80" s="2">
        <v>0</v>
      </c>
      <c r="O80" s="2">
        <v>202</v>
      </c>
      <c r="P80" s="2">
        <v>1238</v>
      </c>
      <c r="Q80" s="2">
        <f t="shared" si="8"/>
        <v>202</v>
      </c>
      <c r="R80" s="2">
        <f t="shared" si="5"/>
        <v>1440</v>
      </c>
      <c r="S80" t="str">
        <f t="shared" si="9"/>
        <v>Lightly Active</v>
      </c>
      <c r="T80" s="2">
        <v>1492</v>
      </c>
    </row>
    <row r="81" spans="1:20" x14ac:dyDescent="0.25">
      <c r="A81" s="2">
        <v>1624580081</v>
      </c>
      <c r="B81" s="3">
        <v>42486</v>
      </c>
      <c r="C81" t="str">
        <f t="shared" si="6"/>
        <v>Tuesday</v>
      </c>
      <c r="D81" t="str">
        <f t="shared" si="7"/>
        <v>Weekday</v>
      </c>
      <c r="E81" s="2">
        <v>2826</v>
      </c>
      <c r="F81" s="2">
        <v>1.8400000329999999</v>
      </c>
      <c r="G81" s="2">
        <v>1.8400000329999999</v>
      </c>
      <c r="H81" s="2">
        <v>0</v>
      </c>
      <c r="I81" s="2">
        <v>0</v>
      </c>
      <c r="J81" s="2">
        <v>0</v>
      </c>
      <c r="K81" s="2">
        <v>1.8300000430000001</v>
      </c>
      <c r="L81" s="2">
        <v>0.01</v>
      </c>
      <c r="M81" s="2">
        <v>0</v>
      </c>
      <c r="N81" s="2">
        <v>0</v>
      </c>
      <c r="O81" s="2">
        <v>140</v>
      </c>
      <c r="P81" s="2">
        <v>1300</v>
      </c>
      <c r="Q81" s="2">
        <f t="shared" si="8"/>
        <v>140</v>
      </c>
      <c r="R81" s="2">
        <f t="shared" si="5"/>
        <v>1440</v>
      </c>
      <c r="S81" t="str">
        <f t="shared" si="9"/>
        <v>Sedentary</v>
      </c>
      <c r="T81" s="2">
        <v>1402</v>
      </c>
    </row>
    <row r="82" spans="1:20" x14ac:dyDescent="0.25">
      <c r="A82" s="2">
        <v>1624580081</v>
      </c>
      <c r="B82" s="3">
        <v>42487</v>
      </c>
      <c r="C82" t="str">
        <f t="shared" si="6"/>
        <v>Wednesday</v>
      </c>
      <c r="D82" t="str">
        <f t="shared" si="7"/>
        <v>Weekday</v>
      </c>
      <c r="E82" s="2">
        <v>8367</v>
      </c>
      <c r="F82" s="2">
        <v>5.4400000569999998</v>
      </c>
      <c r="G82" s="2">
        <v>5.4400000569999998</v>
      </c>
      <c r="H82" s="2">
        <v>0</v>
      </c>
      <c r="I82" s="2">
        <v>1.1100000139999999</v>
      </c>
      <c r="J82" s="2">
        <v>1.8700000050000001</v>
      </c>
      <c r="K82" s="2">
        <v>2.460000038</v>
      </c>
      <c r="L82" s="2">
        <v>0</v>
      </c>
      <c r="M82" s="2">
        <v>17</v>
      </c>
      <c r="N82" s="2">
        <v>36</v>
      </c>
      <c r="O82" s="2">
        <v>154</v>
      </c>
      <c r="P82" s="2">
        <v>1233</v>
      </c>
      <c r="Q82" s="2">
        <f t="shared" si="8"/>
        <v>207</v>
      </c>
      <c r="R82" s="2">
        <f t="shared" si="5"/>
        <v>1440</v>
      </c>
      <c r="S82" t="str">
        <f t="shared" si="9"/>
        <v>Fairly Active</v>
      </c>
      <c r="T82" s="2">
        <v>1670</v>
      </c>
    </row>
    <row r="83" spans="1:20" x14ac:dyDescent="0.25">
      <c r="A83" s="2">
        <v>1624580081</v>
      </c>
      <c r="B83" s="3">
        <v>42488</v>
      </c>
      <c r="C83" t="str">
        <f t="shared" si="6"/>
        <v>Thursday</v>
      </c>
      <c r="D83" t="str">
        <f t="shared" si="7"/>
        <v>Weekday</v>
      </c>
      <c r="E83" s="2">
        <v>2759</v>
      </c>
      <c r="F83" s="2">
        <v>1.789999962</v>
      </c>
      <c r="G83" s="2">
        <v>1.789999962</v>
      </c>
      <c r="H83" s="2">
        <v>0</v>
      </c>
      <c r="I83" s="2">
        <v>0</v>
      </c>
      <c r="J83" s="2">
        <v>0.20000000300000001</v>
      </c>
      <c r="K83" s="2">
        <v>1.6000000240000001</v>
      </c>
      <c r="L83" s="2">
        <v>0</v>
      </c>
      <c r="M83" s="2">
        <v>0</v>
      </c>
      <c r="N83" s="2">
        <v>5</v>
      </c>
      <c r="O83" s="2">
        <v>115</v>
      </c>
      <c r="P83" s="2">
        <v>1320</v>
      </c>
      <c r="Q83" s="2">
        <f t="shared" si="8"/>
        <v>120</v>
      </c>
      <c r="R83" s="2">
        <f t="shared" si="5"/>
        <v>1440</v>
      </c>
      <c r="S83" t="str">
        <f t="shared" si="9"/>
        <v>Sedentary</v>
      </c>
      <c r="T83" s="2">
        <v>1401</v>
      </c>
    </row>
    <row r="84" spans="1:20" x14ac:dyDescent="0.25">
      <c r="A84" s="2">
        <v>1624580081</v>
      </c>
      <c r="B84" s="3">
        <v>42489</v>
      </c>
      <c r="C84" t="str">
        <f t="shared" si="6"/>
        <v>Friday</v>
      </c>
      <c r="D84" t="str">
        <f t="shared" si="7"/>
        <v>Weekday</v>
      </c>
      <c r="E84" s="2">
        <v>2390</v>
      </c>
      <c r="F84" s="2">
        <v>1.5499999520000001</v>
      </c>
      <c r="G84" s="2">
        <v>1.5499999520000001</v>
      </c>
      <c r="H84" s="2">
        <v>0</v>
      </c>
      <c r="I84" s="2">
        <v>0</v>
      </c>
      <c r="J84" s="2">
        <v>0</v>
      </c>
      <c r="K84" s="2">
        <v>1.5499999520000001</v>
      </c>
      <c r="L84" s="2">
        <v>0</v>
      </c>
      <c r="M84" s="2">
        <v>0</v>
      </c>
      <c r="N84" s="2">
        <v>0</v>
      </c>
      <c r="O84" s="2">
        <v>150</v>
      </c>
      <c r="P84" s="2">
        <v>1290</v>
      </c>
      <c r="Q84" s="2">
        <f t="shared" si="8"/>
        <v>150</v>
      </c>
      <c r="R84" s="2">
        <f t="shared" si="5"/>
        <v>1440</v>
      </c>
      <c r="S84" t="str">
        <f t="shared" si="9"/>
        <v>Sedentary</v>
      </c>
      <c r="T84" s="2">
        <v>1404</v>
      </c>
    </row>
    <row r="85" spans="1:20" x14ac:dyDescent="0.25">
      <c r="A85" s="2">
        <v>1624580081</v>
      </c>
      <c r="B85" s="3">
        <v>42490</v>
      </c>
      <c r="C85" t="str">
        <f t="shared" si="6"/>
        <v>Saturday</v>
      </c>
      <c r="D85" t="str">
        <f t="shared" si="7"/>
        <v>Weekend</v>
      </c>
      <c r="E85" s="2">
        <v>6474</v>
      </c>
      <c r="F85" s="2">
        <v>4.3000001909999996</v>
      </c>
      <c r="G85" s="2">
        <v>4.3000001909999996</v>
      </c>
      <c r="H85" s="2">
        <v>0</v>
      </c>
      <c r="I85" s="2">
        <v>0.89999997600000003</v>
      </c>
      <c r="J85" s="2">
        <v>1.2799999710000001</v>
      </c>
      <c r="K85" s="2">
        <v>2.119999886</v>
      </c>
      <c r="L85" s="2">
        <v>0.01</v>
      </c>
      <c r="M85" s="2">
        <v>11</v>
      </c>
      <c r="N85" s="2">
        <v>23</v>
      </c>
      <c r="O85" s="2">
        <v>224</v>
      </c>
      <c r="P85" s="2">
        <v>1182</v>
      </c>
      <c r="Q85" s="2">
        <f t="shared" si="8"/>
        <v>258</v>
      </c>
      <c r="R85" s="2">
        <f t="shared" si="5"/>
        <v>1440</v>
      </c>
      <c r="S85" t="str">
        <f t="shared" si="9"/>
        <v>Lightly Active</v>
      </c>
      <c r="T85" s="2">
        <v>1655</v>
      </c>
    </row>
    <row r="86" spans="1:20" x14ac:dyDescent="0.25">
      <c r="A86" s="2">
        <v>1624580081</v>
      </c>
      <c r="B86" s="3">
        <v>42491</v>
      </c>
      <c r="C86" t="str">
        <f t="shared" si="6"/>
        <v>Sunday</v>
      </c>
      <c r="D86" t="str">
        <f t="shared" si="7"/>
        <v>Weekend</v>
      </c>
      <c r="E86" s="2">
        <v>36019</v>
      </c>
      <c r="F86" s="2">
        <v>28.030000690000001</v>
      </c>
      <c r="G86" s="2">
        <v>28.030000690000001</v>
      </c>
      <c r="H86" s="2">
        <v>0</v>
      </c>
      <c r="I86" s="2">
        <v>21.920000080000001</v>
      </c>
      <c r="J86" s="2">
        <v>4.1900000569999998</v>
      </c>
      <c r="K86" s="2">
        <v>1.9099999670000001</v>
      </c>
      <c r="L86" s="2">
        <v>0.02</v>
      </c>
      <c r="M86" s="2">
        <v>186</v>
      </c>
      <c r="N86" s="2">
        <v>63</v>
      </c>
      <c r="O86" s="2">
        <v>171</v>
      </c>
      <c r="P86" s="2">
        <v>1020</v>
      </c>
      <c r="Q86" s="2">
        <f t="shared" si="8"/>
        <v>420</v>
      </c>
      <c r="R86" s="2">
        <f t="shared" si="5"/>
        <v>1440</v>
      </c>
      <c r="S86" t="str">
        <f t="shared" si="9"/>
        <v>Highly Active</v>
      </c>
      <c r="T86" s="2">
        <v>2690</v>
      </c>
    </row>
    <row r="87" spans="1:20" x14ac:dyDescent="0.25">
      <c r="A87" s="2">
        <v>1624580081</v>
      </c>
      <c r="B87" s="3">
        <v>42492</v>
      </c>
      <c r="C87" t="str">
        <f t="shared" si="6"/>
        <v>Monday</v>
      </c>
      <c r="D87" t="str">
        <f t="shared" si="7"/>
        <v>Weekday</v>
      </c>
      <c r="E87" s="2">
        <v>7155</v>
      </c>
      <c r="F87" s="2">
        <v>4.9299998279999997</v>
      </c>
      <c r="G87" s="2">
        <v>4.9299998279999997</v>
      </c>
      <c r="H87" s="2">
        <v>0</v>
      </c>
      <c r="I87" s="2">
        <v>0.86000001400000003</v>
      </c>
      <c r="J87" s="2">
        <v>0.58999997400000004</v>
      </c>
      <c r="K87" s="2">
        <v>3.4700000289999999</v>
      </c>
      <c r="L87" s="2">
        <v>0</v>
      </c>
      <c r="M87" s="2">
        <v>7</v>
      </c>
      <c r="N87" s="2">
        <v>6</v>
      </c>
      <c r="O87" s="2">
        <v>166</v>
      </c>
      <c r="P87" s="2">
        <v>1261</v>
      </c>
      <c r="Q87" s="2">
        <f t="shared" si="8"/>
        <v>179</v>
      </c>
      <c r="R87" s="2">
        <f t="shared" si="5"/>
        <v>1440</v>
      </c>
      <c r="S87" t="str">
        <f t="shared" si="9"/>
        <v>Lightly Active</v>
      </c>
      <c r="T87" s="2">
        <v>1497</v>
      </c>
    </row>
    <row r="88" spans="1:20" x14ac:dyDescent="0.25">
      <c r="A88" s="2">
        <v>1624580081</v>
      </c>
      <c r="B88" s="3">
        <v>42493</v>
      </c>
      <c r="C88" t="str">
        <f t="shared" si="6"/>
        <v>Tuesday</v>
      </c>
      <c r="D88" t="str">
        <f t="shared" si="7"/>
        <v>Weekday</v>
      </c>
      <c r="E88" s="2">
        <v>2100</v>
      </c>
      <c r="F88" s="2">
        <v>1.3700000050000001</v>
      </c>
      <c r="G88" s="2">
        <v>1.3700000050000001</v>
      </c>
      <c r="H88" s="2">
        <v>0</v>
      </c>
      <c r="I88" s="2">
        <v>0</v>
      </c>
      <c r="J88" s="2">
        <v>0</v>
      </c>
      <c r="K88" s="2">
        <v>1.3400000329999999</v>
      </c>
      <c r="L88" s="2">
        <v>0.02</v>
      </c>
      <c r="M88" s="2">
        <v>0</v>
      </c>
      <c r="N88" s="2">
        <v>0</v>
      </c>
      <c r="O88" s="2">
        <v>96</v>
      </c>
      <c r="P88" s="2">
        <v>1344</v>
      </c>
      <c r="Q88" s="2">
        <f t="shared" si="8"/>
        <v>96</v>
      </c>
      <c r="R88" s="2">
        <f t="shared" si="5"/>
        <v>1440</v>
      </c>
      <c r="S88" t="str">
        <f t="shared" si="9"/>
        <v>Sedentary</v>
      </c>
      <c r="T88" s="2">
        <v>1334</v>
      </c>
    </row>
    <row r="89" spans="1:20" x14ac:dyDescent="0.25">
      <c r="A89" s="2">
        <v>1624580081</v>
      </c>
      <c r="B89" s="3">
        <v>42494</v>
      </c>
      <c r="C89" t="str">
        <f t="shared" si="6"/>
        <v>Wednesday</v>
      </c>
      <c r="D89" t="str">
        <f t="shared" si="7"/>
        <v>Weekday</v>
      </c>
      <c r="E89" s="2">
        <v>2193</v>
      </c>
      <c r="F89" s="2">
        <v>1.4299999480000001</v>
      </c>
      <c r="G89" s="2">
        <v>1.4299999480000001</v>
      </c>
      <c r="H89" s="2">
        <v>0</v>
      </c>
      <c r="I89" s="2">
        <v>0</v>
      </c>
      <c r="J89" s="2">
        <v>0</v>
      </c>
      <c r="K89" s="2">
        <v>1.4199999569999999</v>
      </c>
      <c r="L89" s="2">
        <v>0</v>
      </c>
      <c r="M89" s="2">
        <v>0</v>
      </c>
      <c r="N89" s="2">
        <v>0</v>
      </c>
      <c r="O89" s="2">
        <v>118</v>
      </c>
      <c r="P89" s="2">
        <v>1322</v>
      </c>
      <c r="Q89" s="2">
        <f t="shared" si="8"/>
        <v>118</v>
      </c>
      <c r="R89" s="2">
        <f t="shared" si="5"/>
        <v>1440</v>
      </c>
      <c r="S89" t="str">
        <f t="shared" si="9"/>
        <v>Sedentary</v>
      </c>
      <c r="T89" s="2">
        <v>1368</v>
      </c>
    </row>
    <row r="90" spans="1:20" x14ac:dyDescent="0.25">
      <c r="A90" s="2">
        <v>1624580081</v>
      </c>
      <c r="B90" s="3">
        <v>42495</v>
      </c>
      <c r="C90" t="str">
        <f t="shared" si="6"/>
        <v>Thursday</v>
      </c>
      <c r="D90" t="str">
        <f t="shared" si="7"/>
        <v>Weekday</v>
      </c>
      <c r="E90" s="2">
        <v>2470</v>
      </c>
      <c r="F90" s="2">
        <v>1.6100000139999999</v>
      </c>
      <c r="G90" s="2">
        <v>1.6100000139999999</v>
      </c>
      <c r="H90" s="2">
        <v>0</v>
      </c>
      <c r="I90" s="2">
        <v>0</v>
      </c>
      <c r="J90" s="2">
        <v>0</v>
      </c>
      <c r="K90" s="2">
        <v>1.5800000430000001</v>
      </c>
      <c r="L90" s="2">
        <v>0.02</v>
      </c>
      <c r="M90" s="2">
        <v>0</v>
      </c>
      <c r="N90" s="2">
        <v>0</v>
      </c>
      <c r="O90" s="2">
        <v>117</v>
      </c>
      <c r="P90" s="2">
        <v>1323</v>
      </c>
      <c r="Q90" s="2">
        <f t="shared" si="8"/>
        <v>117</v>
      </c>
      <c r="R90" s="2">
        <f t="shared" si="5"/>
        <v>1440</v>
      </c>
      <c r="S90" t="str">
        <f t="shared" si="9"/>
        <v>Sedentary</v>
      </c>
      <c r="T90" s="2">
        <v>1370</v>
      </c>
    </row>
    <row r="91" spans="1:20" x14ac:dyDescent="0.25">
      <c r="A91" s="2">
        <v>1624580081</v>
      </c>
      <c r="B91" s="3">
        <v>42496</v>
      </c>
      <c r="C91" t="str">
        <f t="shared" si="6"/>
        <v>Friday</v>
      </c>
      <c r="D91" t="str">
        <f t="shared" si="7"/>
        <v>Weekday</v>
      </c>
      <c r="E91" s="2">
        <v>1727</v>
      </c>
      <c r="F91" s="2">
        <v>1.1200000050000001</v>
      </c>
      <c r="G91" s="2">
        <v>1.1200000050000001</v>
      </c>
      <c r="H91" s="2">
        <v>0</v>
      </c>
      <c r="I91" s="2">
        <v>0</v>
      </c>
      <c r="J91" s="2">
        <v>0</v>
      </c>
      <c r="K91" s="2">
        <v>1.1200000050000001</v>
      </c>
      <c r="L91" s="2">
        <v>0.01</v>
      </c>
      <c r="M91" s="2">
        <v>0</v>
      </c>
      <c r="N91" s="2">
        <v>0</v>
      </c>
      <c r="O91" s="2">
        <v>102</v>
      </c>
      <c r="P91" s="2">
        <v>1338</v>
      </c>
      <c r="Q91" s="2">
        <f t="shared" si="8"/>
        <v>102</v>
      </c>
      <c r="R91" s="2">
        <f t="shared" si="5"/>
        <v>1440</v>
      </c>
      <c r="S91" t="str">
        <f t="shared" si="9"/>
        <v>Sedentary</v>
      </c>
      <c r="T91" s="2">
        <v>1341</v>
      </c>
    </row>
    <row r="92" spans="1:20" x14ac:dyDescent="0.25">
      <c r="A92" s="2">
        <v>1624580081</v>
      </c>
      <c r="B92" s="3">
        <v>42497</v>
      </c>
      <c r="C92" t="str">
        <f t="shared" si="6"/>
        <v>Saturday</v>
      </c>
      <c r="D92" t="str">
        <f t="shared" si="7"/>
        <v>Weekend</v>
      </c>
      <c r="E92" s="2">
        <v>2104</v>
      </c>
      <c r="F92" s="2">
        <v>1.3700000050000001</v>
      </c>
      <c r="G92" s="2">
        <v>1.3700000050000001</v>
      </c>
      <c r="H92" s="2">
        <v>0</v>
      </c>
      <c r="I92" s="2">
        <v>0</v>
      </c>
      <c r="J92" s="2">
        <v>0</v>
      </c>
      <c r="K92" s="2">
        <v>1.3700000050000001</v>
      </c>
      <c r="L92" s="2">
        <v>0</v>
      </c>
      <c r="M92" s="2">
        <v>0</v>
      </c>
      <c r="N92" s="2">
        <v>0</v>
      </c>
      <c r="O92" s="2">
        <v>182</v>
      </c>
      <c r="P92" s="2">
        <v>1258</v>
      </c>
      <c r="Q92" s="2">
        <f t="shared" si="8"/>
        <v>182</v>
      </c>
      <c r="R92" s="2">
        <f t="shared" si="5"/>
        <v>1440</v>
      </c>
      <c r="S92" t="str">
        <f t="shared" si="9"/>
        <v>Sedentary</v>
      </c>
      <c r="T92" s="2">
        <v>1474</v>
      </c>
    </row>
    <row r="93" spans="1:20" x14ac:dyDescent="0.25">
      <c r="A93" s="2">
        <v>1624580081</v>
      </c>
      <c r="B93" s="3">
        <v>42498</v>
      </c>
      <c r="C93" t="str">
        <f t="shared" si="6"/>
        <v>Sunday</v>
      </c>
      <c r="D93" t="str">
        <f t="shared" si="7"/>
        <v>Weekend</v>
      </c>
      <c r="E93" s="2">
        <v>3427</v>
      </c>
      <c r="F93" s="2">
        <v>2.2300000190000002</v>
      </c>
      <c r="G93" s="2">
        <v>2.2300000190000002</v>
      </c>
      <c r="H93" s="2">
        <v>0</v>
      </c>
      <c r="I93" s="2">
        <v>0</v>
      </c>
      <c r="J93" s="2">
        <v>0</v>
      </c>
      <c r="K93" s="2">
        <v>2.2200000289999999</v>
      </c>
      <c r="L93" s="2">
        <v>0</v>
      </c>
      <c r="M93" s="2">
        <v>0</v>
      </c>
      <c r="N93" s="2">
        <v>0</v>
      </c>
      <c r="O93" s="2">
        <v>152</v>
      </c>
      <c r="P93" s="2">
        <v>1288</v>
      </c>
      <c r="Q93" s="2">
        <f t="shared" si="8"/>
        <v>152</v>
      </c>
      <c r="R93" s="2">
        <f t="shared" si="5"/>
        <v>1440</v>
      </c>
      <c r="S93" t="str">
        <f t="shared" si="9"/>
        <v>Sedentary</v>
      </c>
      <c r="T93" s="2">
        <v>1427</v>
      </c>
    </row>
    <row r="94" spans="1:20" x14ac:dyDescent="0.25">
      <c r="A94" s="2">
        <v>1624580081</v>
      </c>
      <c r="B94" s="3">
        <v>42499</v>
      </c>
      <c r="C94" t="str">
        <f t="shared" si="6"/>
        <v>Monday</v>
      </c>
      <c r="D94" t="str">
        <f t="shared" si="7"/>
        <v>Weekday</v>
      </c>
      <c r="E94" s="2">
        <v>1732</v>
      </c>
      <c r="F94" s="2">
        <v>1.1299999949999999</v>
      </c>
      <c r="G94" s="2">
        <v>1.1299999949999999</v>
      </c>
      <c r="H94" s="2">
        <v>0</v>
      </c>
      <c r="I94" s="2">
        <v>0</v>
      </c>
      <c r="J94" s="2">
        <v>0</v>
      </c>
      <c r="K94" s="2">
        <v>1.1299999949999999</v>
      </c>
      <c r="L94" s="2">
        <v>0</v>
      </c>
      <c r="M94" s="2">
        <v>0</v>
      </c>
      <c r="N94" s="2">
        <v>0</v>
      </c>
      <c r="O94" s="2">
        <v>91</v>
      </c>
      <c r="P94" s="2">
        <v>1349</v>
      </c>
      <c r="Q94" s="2">
        <f t="shared" si="8"/>
        <v>91</v>
      </c>
      <c r="R94" s="2">
        <f t="shared" si="5"/>
        <v>1440</v>
      </c>
      <c r="S94" t="str">
        <f t="shared" si="9"/>
        <v>Sedentary</v>
      </c>
      <c r="T94" s="2">
        <v>1328</v>
      </c>
    </row>
    <row r="95" spans="1:20" x14ac:dyDescent="0.25">
      <c r="A95" s="2">
        <v>1624580081</v>
      </c>
      <c r="B95" s="3">
        <v>42500</v>
      </c>
      <c r="C95" t="str">
        <f t="shared" si="6"/>
        <v>Tuesday</v>
      </c>
      <c r="D95" t="str">
        <f t="shared" si="7"/>
        <v>Weekday</v>
      </c>
      <c r="E95" s="2">
        <v>2969</v>
      </c>
      <c r="F95" s="2">
        <v>1.9299999480000001</v>
      </c>
      <c r="G95" s="2">
        <v>1.9299999480000001</v>
      </c>
      <c r="H95" s="2">
        <v>0</v>
      </c>
      <c r="I95" s="2">
        <v>0</v>
      </c>
      <c r="J95" s="2">
        <v>0</v>
      </c>
      <c r="K95" s="2">
        <v>1.9199999569999999</v>
      </c>
      <c r="L95" s="2">
        <v>0.01</v>
      </c>
      <c r="M95" s="2">
        <v>0</v>
      </c>
      <c r="N95" s="2">
        <v>0</v>
      </c>
      <c r="O95" s="2">
        <v>139</v>
      </c>
      <c r="P95" s="2">
        <v>1301</v>
      </c>
      <c r="Q95" s="2">
        <f t="shared" si="8"/>
        <v>139</v>
      </c>
      <c r="R95" s="2">
        <f t="shared" si="5"/>
        <v>1440</v>
      </c>
      <c r="S95" t="str">
        <f t="shared" si="9"/>
        <v>Sedentary</v>
      </c>
      <c r="T95" s="2">
        <v>1393</v>
      </c>
    </row>
    <row r="96" spans="1:20" x14ac:dyDescent="0.25">
      <c r="A96" s="2">
        <v>1624580081</v>
      </c>
      <c r="B96" s="3">
        <v>42501</v>
      </c>
      <c r="C96" t="str">
        <f t="shared" si="6"/>
        <v>Wednesday</v>
      </c>
      <c r="D96" t="str">
        <f t="shared" si="7"/>
        <v>Weekday</v>
      </c>
      <c r="E96" s="2">
        <v>3134</v>
      </c>
      <c r="F96" s="2">
        <v>2.039999962</v>
      </c>
      <c r="G96" s="2">
        <v>2.039999962</v>
      </c>
      <c r="H96" s="2">
        <v>0</v>
      </c>
      <c r="I96" s="2">
        <v>0</v>
      </c>
      <c r="J96" s="2">
        <v>0</v>
      </c>
      <c r="K96" s="2">
        <v>2.039999962</v>
      </c>
      <c r="L96" s="2">
        <v>0</v>
      </c>
      <c r="M96" s="2">
        <v>0</v>
      </c>
      <c r="N96" s="2">
        <v>0</v>
      </c>
      <c r="O96" s="2">
        <v>112</v>
      </c>
      <c r="P96" s="2">
        <v>1328</v>
      </c>
      <c r="Q96" s="2">
        <f t="shared" si="8"/>
        <v>112</v>
      </c>
      <c r="R96" s="2">
        <f t="shared" si="5"/>
        <v>1440</v>
      </c>
      <c r="S96" t="str">
        <f t="shared" si="9"/>
        <v>Sedentary</v>
      </c>
      <c r="T96" s="2">
        <v>1359</v>
      </c>
    </row>
    <row r="97" spans="1:20" x14ac:dyDescent="0.25">
      <c r="A97" s="2">
        <v>1624580081</v>
      </c>
      <c r="B97" s="3">
        <v>42502</v>
      </c>
      <c r="C97" t="str">
        <f t="shared" si="6"/>
        <v>Thursday</v>
      </c>
      <c r="D97" t="str">
        <f t="shared" si="7"/>
        <v>Weekday</v>
      </c>
      <c r="E97" s="2">
        <v>2971</v>
      </c>
      <c r="F97" s="2">
        <v>1.9299999480000001</v>
      </c>
      <c r="G97" s="2">
        <v>1.9299999480000001</v>
      </c>
      <c r="H97" s="2">
        <v>0</v>
      </c>
      <c r="I97" s="2">
        <v>0</v>
      </c>
      <c r="J97" s="2">
        <v>0</v>
      </c>
      <c r="K97" s="2">
        <v>1.9199999569999999</v>
      </c>
      <c r="L97" s="2">
        <v>0.01</v>
      </c>
      <c r="M97" s="2">
        <v>0</v>
      </c>
      <c r="N97" s="2">
        <v>0</v>
      </c>
      <c r="O97" s="2">
        <v>107</v>
      </c>
      <c r="P97" s="2">
        <v>890</v>
      </c>
      <c r="Q97" s="2">
        <f t="shared" si="8"/>
        <v>107</v>
      </c>
      <c r="R97" s="2">
        <f t="shared" si="5"/>
        <v>997</v>
      </c>
      <c r="S97" t="str">
        <f t="shared" si="9"/>
        <v>Sedentary</v>
      </c>
      <c r="T97" s="2">
        <v>1002</v>
      </c>
    </row>
    <row r="98" spans="1:20" x14ac:dyDescent="0.25">
      <c r="A98" s="2">
        <v>1644430081</v>
      </c>
      <c r="B98" s="3">
        <v>42461</v>
      </c>
      <c r="C98" t="str">
        <f t="shared" si="6"/>
        <v>Friday</v>
      </c>
      <c r="D98" t="str">
        <f t="shared" si="7"/>
        <v>Weekday</v>
      </c>
      <c r="E98" s="2">
        <v>4636</v>
      </c>
      <c r="F98" s="2">
        <v>3.4100000860000002</v>
      </c>
      <c r="G98" s="2">
        <v>3.4100000860000002</v>
      </c>
      <c r="H98" s="2">
        <v>0</v>
      </c>
      <c r="I98" s="2">
        <v>0</v>
      </c>
      <c r="J98" s="2">
        <v>0.77999997099999996</v>
      </c>
      <c r="K98" s="2">
        <v>2.5999999049999998</v>
      </c>
      <c r="L98" s="2">
        <v>2.9999998999999999E-2</v>
      </c>
      <c r="M98" s="2">
        <v>0</v>
      </c>
      <c r="N98" s="2">
        <v>16</v>
      </c>
      <c r="O98" s="2">
        <v>586</v>
      </c>
      <c r="P98" s="2">
        <v>838</v>
      </c>
      <c r="Q98" s="2">
        <f t="shared" si="8"/>
        <v>602</v>
      </c>
      <c r="R98" s="2">
        <f t="shared" si="5"/>
        <v>1440</v>
      </c>
      <c r="S98" t="str">
        <f t="shared" si="9"/>
        <v>Sedentary</v>
      </c>
      <c r="T98" s="2">
        <v>3323</v>
      </c>
    </row>
    <row r="99" spans="1:20" x14ac:dyDescent="0.25">
      <c r="A99" s="2">
        <v>1644430081</v>
      </c>
      <c r="B99" s="3">
        <v>42462</v>
      </c>
      <c r="C99" t="str">
        <f t="shared" si="6"/>
        <v>Saturday</v>
      </c>
      <c r="D99" t="str">
        <f t="shared" si="7"/>
        <v>Weekend</v>
      </c>
      <c r="E99" s="2">
        <v>20237</v>
      </c>
      <c r="F99" s="2">
        <v>14.710000040000001</v>
      </c>
      <c r="G99" s="2">
        <v>14.710000040000001</v>
      </c>
      <c r="H99" s="2">
        <v>0</v>
      </c>
      <c r="I99" s="2">
        <v>2.5699999330000001</v>
      </c>
      <c r="J99" s="2">
        <v>6.4000000950000002</v>
      </c>
      <c r="K99" s="2">
        <v>5.7300000190000002</v>
      </c>
      <c r="L99" s="2">
        <v>0.01</v>
      </c>
      <c r="M99" s="2">
        <v>34</v>
      </c>
      <c r="N99" s="2">
        <v>141</v>
      </c>
      <c r="O99" s="2">
        <v>347</v>
      </c>
      <c r="P99" s="2">
        <v>918</v>
      </c>
      <c r="Q99" s="2">
        <f t="shared" si="8"/>
        <v>522</v>
      </c>
      <c r="R99" s="2">
        <f t="shared" si="5"/>
        <v>1440</v>
      </c>
      <c r="S99" t="str">
        <f t="shared" si="9"/>
        <v>Highly Active</v>
      </c>
      <c r="T99" s="2">
        <v>4029</v>
      </c>
    </row>
    <row r="100" spans="1:20" x14ac:dyDescent="0.25">
      <c r="A100" s="2">
        <v>1644430081</v>
      </c>
      <c r="B100" s="3">
        <v>42463</v>
      </c>
      <c r="C100" t="str">
        <f t="shared" si="6"/>
        <v>Sunday</v>
      </c>
      <c r="D100" t="str">
        <f t="shared" si="7"/>
        <v>Weekend</v>
      </c>
      <c r="E100" s="2">
        <v>12912</v>
      </c>
      <c r="F100" s="2">
        <v>9.4099998469999999</v>
      </c>
      <c r="G100" s="2">
        <v>9.4099998469999999</v>
      </c>
      <c r="H100" s="2">
        <v>0</v>
      </c>
      <c r="I100" s="2">
        <v>4.829999924</v>
      </c>
      <c r="J100" s="2">
        <v>0.769999981</v>
      </c>
      <c r="K100" s="2">
        <v>3.789999962</v>
      </c>
      <c r="L100" s="2">
        <v>2.9999998999999999E-2</v>
      </c>
      <c r="M100" s="2">
        <v>59</v>
      </c>
      <c r="N100" s="2">
        <v>16</v>
      </c>
      <c r="O100" s="2">
        <v>283</v>
      </c>
      <c r="P100" s="2">
        <v>1082</v>
      </c>
      <c r="Q100" s="2">
        <f t="shared" si="8"/>
        <v>358</v>
      </c>
      <c r="R100" s="2">
        <f t="shared" si="5"/>
        <v>1440</v>
      </c>
      <c r="S100" t="str">
        <f t="shared" si="9"/>
        <v>Highly Active</v>
      </c>
      <c r="T100" s="2">
        <v>3436</v>
      </c>
    </row>
    <row r="101" spans="1:20" x14ac:dyDescent="0.25">
      <c r="A101" s="2">
        <v>1644430081</v>
      </c>
      <c r="B101" s="3">
        <v>42464</v>
      </c>
      <c r="C101" t="str">
        <f t="shared" si="6"/>
        <v>Monday</v>
      </c>
      <c r="D101" t="str">
        <f t="shared" si="7"/>
        <v>Weekday</v>
      </c>
      <c r="E101" s="2">
        <v>2819</v>
      </c>
      <c r="F101" s="2">
        <v>2.0499999519999998</v>
      </c>
      <c r="G101" s="2">
        <v>2.0499999519999998</v>
      </c>
      <c r="H101" s="2">
        <v>0</v>
      </c>
      <c r="I101" s="2">
        <v>0.310000002</v>
      </c>
      <c r="J101" s="2">
        <v>0.17000000200000001</v>
      </c>
      <c r="K101" s="2">
        <v>1.559999943</v>
      </c>
      <c r="L101" s="2">
        <v>0.01</v>
      </c>
      <c r="M101" s="2">
        <v>4</v>
      </c>
      <c r="N101" s="2">
        <v>4</v>
      </c>
      <c r="O101" s="2">
        <v>87</v>
      </c>
      <c r="P101" s="2">
        <v>1345</v>
      </c>
      <c r="Q101" s="2">
        <f t="shared" si="8"/>
        <v>95</v>
      </c>
      <c r="R101" s="2">
        <f t="shared" si="5"/>
        <v>1440</v>
      </c>
      <c r="S101" t="str">
        <f t="shared" si="9"/>
        <v>Sedentary</v>
      </c>
      <c r="T101" s="2">
        <v>2444</v>
      </c>
    </row>
    <row r="102" spans="1:20" x14ac:dyDescent="0.25">
      <c r="A102" s="2">
        <v>1644430081</v>
      </c>
      <c r="B102" s="3">
        <v>42465</v>
      </c>
      <c r="C102" t="str">
        <f t="shared" si="6"/>
        <v>Tuesday</v>
      </c>
      <c r="D102" t="str">
        <f t="shared" si="7"/>
        <v>Weekday</v>
      </c>
      <c r="E102" s="2">
        <v>9921</v>
      </c>
      <c r="F102" s="2">
        <v>7.2100000380000004</v>
      </c>
      <c r="G102" s="2">
        <v>7.2100000380000004</v>
      </c>
      <c r="H102" s="2">
        <v>0</v>
      </c>
      <c r="I102" s="2">
        <v>0.34000000400000002</v>
      </c>
      <c r="J102" s="2">
        <v>1.519999981</v>
      </c>
      <c r="K102" s="2">
        <v>5.3600001339999999</v>
      </c>
      <c r="L102" s="2">
        <v>0</v>
      </c>
      <c r="M102" s="2">
        <v>5</v>
      </c>
      <c r="N102" s="2">
        <v>35</v>
      </c>
      <c r="O102" s="2">
        <v>219</v>
      </c>
      <c r="P102" s="2">
        <v>1181</v>
      </c>
      <c r="Q102" s="2">
        <f t="shared" si="8"/>
        <v>259</v>
      </c>
      <c r="R102" s="2">
        <f t="shared" si="5"/>
        <v>1440</v>
      </c>
      <c r="S102" t="str">
        <f t="shared" si="9"/>
        <v>Fairly Active</v>
      </c>
      <c r="T102" s="2">
        <v>3098</v>
      </c>
    </row>
    <row r="103" spans="1:20" x14ac:dyDescent="0.25">
      <c r="A103" s="2">
        <v>1644430081</v>
      </c>
      <c r="B103" s="3">
        <v>42466</v>
      </c>
      <c r="C103" t="str">
        <f t="shared" si="6"/>
        <v>Wednesday</v>
      </c>
      <c r="D103" t="str">
        <f t="shared" si="7"/>
        <v>Weekday</v>
      </c>
      <c r="E103" s="2">
        <v>8046</v>
      </c>
      <c r="F103" s="2">
        <v>5.8499999049999998</v>
      </c>
      <c r="G103" s="2">
        <v>5.8499999049999998</v>
      </c>
      <c r="H103" s="2">
        <v>0</v>
      </c>
      <c r="I103" s="2">
        <v>1.289999962</v>
      </c>
      <c r="J103" s="2">
        <v>2.119999886</v>
      </c>
      <c r="K103" s="2">
        <v>2.4500000480000002</v>
      </c>
      <c r="L103" s="2">
        <v>0</v>
      </c>
      <c r="M103" s="2">
        <v>18</v>
      </c>
      <c r="N103" s="2">
        <v>41</v>
      </c>
      <c r="O103" s="2">
        <v>137</v>
      </c>
      <c r="P103" s="2">
        <v>1244</v>
      </c>
      <c r="Q103" s="2">
        <f t="shared" si="8"/>
        <v>196</v>
      </c>
      <c r="R103" s="2">
        <f t="shared" si="5"/>
        <v>1440</v>
      </c>
      <c r="S103" t="str">
        <f t="shared" si="9"/>
        <v>Fairly Active</v>
      </c>
      <c r="T103" s="2">
        <v>2925</v>
      </c>
    </row>
    <row r="104" spans="1:20" x14ac:dyDescent="0.25">
      <c r="A104" s="2">
        <v>1644430081</v>
      </c>
      <c r="B104" s="3">
        <v>42467</v>
      </c>
      <c r="C104" t="str">
        <f t="shared" si="6"/>
        <v>Thursday</v>
      </c>
      <c r="D104" t="str">
        <f t="shared" si="7"/>
        <v>Weekday</v>
      </c>
      <c r="E104" s="2">
        <v>11166</v>
      </c>
      <c r="F104" s="2">
        <v>8.1199998860000004</v>
      </c>
      <c r="G104" s="2">
        <v>8.1199998860000004</v>
      </c>
      <c r="H104" s="2">
        <v>0</v>
      </c>
      <c r="I104" s="2">
        <v>0.209999993</v>
      </c>
      <c r="J104" s="2">
        <v>2.4100000860000002</v>
      </c>
      <c r="K104" s="2">
        <v>5.5</v>
      </c>
      <c r="L104" s="2">
        <v>0</v>
      </c>
      <c r="M104" s="2">
        <v>3</v>
      </c>
      <c r="N104" s="2">
        <v>58</v>
      </c>
      <c r="O104" s="2">
        <v>230</v>
      </c>
      <c r="P104" s="2">
        <v>1149</v>
      </c>
      <c r="Q104" s="2">
        <f t="shared" si="8"/>
        <v>291</v>
      </c>
      <c r="R104" s="2">
        <f t="shared" si="5"/>
        <v>1440</v>
      </c>
      <c r="S104" t="str">
        <f t="shared" si="9"/>
        <v>Highly Active</v>
      </c>
      <c r="T104" s="2">
        <v>3202</v>
      </c>
    </row>
    <row r="105" spans="1:20" x14ac:dyDescent="0.25">
      <c r="A105" s="2">
        <v>1644430081</v>
      </c>
      <c r="B105" s="3">
        <v>42468</v>
      </c>
      <c r="C105" t="str">
        <f t="shared" si="6"/>
        <v>Friday</v>
      </c>
      <c r="D105" t="str">
        <f t="shared" si="7"/>
        <v>Weekday</v>
      </c>
      <c r="E105" s="2">
        <v>7842</v>
      </c>
      <c r="F105" s="2">
        <v>5.6999998090000004</v>
      </c>
      <c r="G105" s="2">
        <v>5.6999998090000004</v>
      </c>
      <c r="H105" s="2">
        <v>0</v>
      </c>
      <c r="I105" s="2">
        <v>0.47999998900000002</v>
      </c>
      <c r="J105" s="2">
        <v>2.4100000860000002</v>
      </c>
      <c r="K105" s="2">
        <v>2.8099999430000002</v>
      </c>
      <c r="L105" s="2">
        <v>0</v>
      </c>
      <c r="M105" s="2">
        <v>7</v>
      </c>
      <c r="N105" s="2">
        <v>43</v>
      </c>
      <c r="O105" s="2">
        <v>161</v>
      </c>
      <c r="P105" s="2">
        <v>1229</v>
      </c>
      <c r="Q105" s="2">
        <f t="shared" si="8"/>
        <v>211</v>
      </c>
      <c r="R105" s="2">
        <f t="shared" si="5"/>
        <v>1440</v>
      </c>
      <c r="S105" t="str">
        <f t="shared" si="9"/>
        <v>Fairly Active</v>
      </c>
      <c r="T105" s="2">
        <v>2928</v>
      </c>
    </row>
    <row r="106" spans="1:20" x14ac:dyDescent="0.25">
      <c r="A106" s="2">
        <v>1644430081</v>
      </c>
      <c r="B106" s="3">
        <v>42469</v>
      </c>
      <c r="C106" t="str">
        <f t="shared" si="6"/>
        <v>Saturday</v>
      </c>
      <c r="D106" t="str">
        <f t="shared" si="7"/>
        <v>Weekend</v>
      </c>
      <c r="E106" s="2">
        <v>13840</v>
      </c>
      <c r="F106" s="2">
        <v>10.06000042</v>
      </c>
      <c r="G106" s="2">
        <v>10.06000042</v>
      </c>
      <c r="H106" s="2">
        <v>0</v>
      </c>
      <c r="I106" s="2">
        <v>1.309999943</v>
      </c>
      <c r="J106" s="2">
        <v>3.7200000289999999</v>
      </c>
      <c r="K106" s="2">
        <v>5.0300002099999999</v>
      </c>
      <c r="L106" s="2">
        <v>0</v>
      </c>
      <c r="M106" s="2">
        <v>18</v>
      </c>
      <c r="N106" s="2">
        <v>81</v>
      </c>
      <c r="O106" s="2">
        <v>192</v>
      </c>
      <c r="P106" s="2">
        <v>1149</v>
      </c>
      <c r="Q106" s="2">
        <f t="shared" si="8"/>
        <v>291</v>
      </c>
      <c r="R106" s="2">
        <f t="shared" si="5"/>
        <v>1440</v>
      </c>
      <c r="S106" t="str">
        <f t="shared" si="9"/>
        <v>Highly Active</v>
      </c>
      <c r="T106" s="2">
        <v>3290</v>
      </c>
    </row>
    <row r="107" spans="1:20" x14ac:dyDescent="0.25">
      <c r="A107" s="2">
        <v>1644430081</v>
      </c>
      <c r="B107" s="3">
        <v>42472</v>
      </c>
      <c r="C107" t="str">
        <f t="shared" si="6"/>
        <v>Tuesday</v>
      </c>
      <c r="D107" t="str">
        <f t="shared" si="7"/>
        <v>Weekday</v>
      </c>
      <c r="E107" s="2">
        <v>10694</v>
      </c>
      <c r="F107" s="2">
        <v>7.7699999809999998</v>
      </c>
      <c r="G107" s="2">
        <v>7.7699999809999998</v>
      </c>
      <c r="H107" s="2">
        <v>0</v>
      </c>
      <c r="I107" s="2">
        <v>0.14000000100000001</v>
      </c>
      <c r="J107" s="2">
        <v>2.2999999519999998</v>
      </c>
      <c r="K107" s="2">
        <v>5.329999924</v>
      </c>
      <c r="L107" s="2">
        <v>0</v>
      </c>
      <c r="M107" s="2">
        <v>2</v>
      </c>
      <c r="N107" s="2">
        <v>51</v>
      </c>
      <c r="O107" s="2">
        <v>256</v>
      </c>
      <c r="P107" s="2">
        <v>1131</v>
      </c>
      <c r="Q107" s="2">
        <f t="shared" si="8"/>
        <v>309</v>
      </c>
      <c r="R107" s="2">
        <f t="shared" si="5"/>
        <v>1440</v>
      </c>
      <c r="S107" t="str">
        <f t="shared" si="9"/>
        <v>Highly Active</v>
      </c>
      <c r="T107" s="2">
        <v>3199</v>
      </c>
    </row>
    <row r="108" spans="1:20" x14ac:dyDescent="0.25">
      <c r="A108" s="2">
        <v>1644430081</v>
      </c>
      <c r="B108" s="3">
        <v>42473</v>
      </c>
      <c r="C108" t="str">
        <f t="shared" si="6"/>
        <v>Wednesday</v>
      </c>
      <c r="D108" t="str">
        <f t="shared" si="7"/>
        <v>Weekday</v>
      </c>
      <c r="E108" s="2">
        <v>8001</v>
      </c>
      <c r="F108" s="2">
        <v>5.8200001720000003</v>
      </c>
      <c r="G108" s="2">
        <v>5.8200001720000003</v>
      </c>
      <c r="H108" s="2">
        <v>0</v>
      </c>
      <c r="I108" s="2">
        <v>2.2799999710000001</v>
      </c>
      <c r="J108" s="2">
        <v>0.89999997600000003</v>
      </c>
      <c r="K108" s="2">
        <v>2.6400001049999999</v>
      </c>
      <c r="L108" s="2">
        <v>0</v>
      </c>
      <c r="M108" s="2">
        <v>30</v>
      </c>
      <c r="N108" s="2">
        <v>16</v>
      </c>
      <c r="O108" s="2">
        <v>135</v>
      </c>
      <c r="P108" s="2">
        <v>1259</v>
      </c>
      <c r="Q108" s="2">
        <f t="shared" si="8"/>
        <v>181</v>
      </c>
      <c r="R108" s="2">
        <f t="shared" si="5"/>
        <v>1440</v>
      </c>
      <c r="S108" t="str">
        <f t="shared" si="9"/>
        <v>Fairly Active</v>
      </c>
      <c r="T108" s="2">
        <v>2902</v>
      </c>
    </row>
    <row r="109" spans="1:20" x14ac:dyDescent="0.25">
      <c r="A109" s="2">
        <v>1644430081</v>
      </c>
      <c r="B109" s="3">
        <v>42474</v>
      </c>
      <c r="C109" t="str">
        <f t="shared" si="6"/>
        <v>Thursday</v>
      </c>
      <c r="D109" t="str">
        <f t="shared" si="7"/>
        <v>Weekday</v>
      </c>
      <c r="E109" s="2">
        <v>11037</v>
      </c>
      <c r="F109" s="2">
        <v>8.0200004580000002</v>
      </c>
      <c r="G109" s="2">
        <v>8.0200004580000002</v>
      </c>
      <c r="H109" s="2">
        <v>0</v>
      </c>
      <c r="I109" s="2">
        <v>0.36000001399999998</v>
      </c>
      <c r="J109" s="2">
        <v>2.5599999430000002</v>
      </c>
      <c r="K109" s="2">
        <v>5.0999999049999998</v>
      </c>
      <c r="L109" s="2">
        <v>0</v>
      </c>
      <c r="M109" s="2">
        <v>5</v>
      </c>
      <c r="N109" s="2">
        <v>58</v>
      </c>
      <c r="O109" s="2">
        <v>252</v>
      </c>
      <c r="P109" s="2">
        <v>1125</v>
      </c>
      <c r="Q109" s="2">
        <f t="shared" si="8"/>
        <v>315</v>
      </c>
      <c r="R109" s="2">
        <f t="shared" si="5"/>
        <v>1440</v>
      </c>
      <c r="S109" t="str">
        <f t="shared" si="9"/>
        <v>Highly Active</v>
      </c>
      <c r="T109" s="2">
        <v>3226</v>
      </c>
    </row>
    <row r="110" spans="1:20" x14ac:dyDescent="0.25">
      <c r="A110" s="2">
        <v>1644430081</v>
      </c>
      <c r="B110" s="3">
        <v>42475</v>
      </c>
      <c r="C110" t="str">
        <f t="shared" si="6"/>
        <v>Friday</v>
      </c>
      <c r="D110" t="str">
        <f t="shared" si="7"/>
        <v>Weekday</v>
      </c>
      <c r="E110" s="2">
        <v>5263</v>
      </c>
      <c r="F110" s="2">
        <v>3.829999924</v>
      </c>
      <c r="G110" s="2">
        <v>3.829999924</v>
      </c>
      <c r="H110" s="2">
        <v>0</v>
      </c>
      <c r="I110" s="2">
        <v>0.219999999</v>
      </c>
      <c r="J110" s="2">
        <v>0.15000000599999999</v>
      </c>
      <c r="K110" s="2">
        <v>3.4500000480000002</v>
      </c>
      <c r="L110" s="2">
        <v>0</v>
      </c>
      <c r="M110" s="2">
        <v>3</v>
      </c>
      <c r="N110" s="2">
        <v>4</v>
      </c>
      <c r="O110" s="2">
        <v>170</v>
      </c>
      <c r="P110" s="2">
        <v>1263</v>
      </c>
      <c r="Q110" s="2">
        <f t="shared" si="8"/>
        <v>177</v>
      </c>
      <c r="R110" s="2">
        <f t="shared" si="5"/>
        <v>1440</v>
      </c>
      <c r="S110" t="str">
        <f t="shared" si="9"/>
        <v>Lightly Active</v>
      </c>
      <c r="T110" s="2">
        <v>2750</v>
      </c>
    </row>
    <row r="111" spans="1:20" x14ac:dyDescent="0.25">
      <c r="A111" s="2">
        <v>1644430081</v>
      </c>
      <c r="B111" s="3">
        <v>42476</v>
      </c>
      <c r="C111" t="str">
        <f t="shared" si="6"/>
        <v>Saturday</v>
      </c>
      <c r="D111" t="str">
        <f t="shared" si="7"/>
        <v>Weekend</v>
      </c>
      <c r="E111" s="2">
        <v>15300</v>
      </c>
      <c r="F111" s="2">
        <v>11.119999890000001</v>
      </c>
      <c r="G111" s="2">
        <v>11.119999890000001</v>
      </c>
      <c r="H111" s="2">
        <v>0</v>
      </c>
      <c r="I111" s="2">
        <v>4.0999999049999998</v>
      </c>
      <c r="J111" s="2">
        <v>1.8799999949999999</v>
      </c>
      <c r="K111" s="2">
        <v>5.0900001530000001</v>
      </c>
      <c r="L111" s="2">
        <v>0</v>
      </c>
      <c r="M111" s="2">
        <v>51</v>
      </c>
      <c r="N111" s="2">
        <v>42</v>
      </c>
      <c r="O111" s="2">
        <v>212</v>
      </c>
      <c r="P111" s="2">
        <v>1135</v>
      </c>
      <c r="Q111" s="2">
        <f t="shared" si="8"/>
        <v>305</v>
      </c>
      <c r="R111" s="2">
        <f t="shared" si="5"/>
        <v>1440</v>
      </c>
      <c r="S111" t="str">
        <f t="shared" si="9"/>
        <v>Highly Active</v>
      </c>
      <c r="T111" s="2">
        <v>3493</v>
      </c>
    </row>
    <row r="112" spans="1:20" x14ac:dyDescent="0.25">
      <c r="A112" s="2">
        <v>1644430081</v>
      </c>
      <c r="B112" s="3">
        <v>42477</v>
      </c>
      <c r="C112" t="str">
        <f t="shared" si="6"/>
        <v>Sunday</v>
      </c>
      <c r="D112" t="str">
        <f t="shared" si="7"/>
        <v>Weekend</v>
      </c>
      <c r="E112" s="2">
        <v>8757</v>
      </c>
      <c r="F112" s="2">
        <v>6.3699998860000004</v>
      </c>
      <c r="G112" s="2">
        <v>6.3699998860000004</v>
      </c>
      <c r="H112" s="2">
        <v>0</v>
      </c>
      <c r="I112" s="2">
        <v>2.25</v>
      </c>
      <c r="J112" s="2">
        <v>0.56999999300000004</v>
      </c>
      <c r="K112" s="2">
        <v>3.5499999519999998</v>
      </c>
      <c r="L112" s="2">
        <v>0</v>
      </c>
      <c r="M112" s="2">
        <v>29</v>
      </c>
      <c r="N112" s="2">
        <v>13</v>
      </c>
      <c r="O112" s="2">
        <v>186</v>
      </c>
      <c r="P112" s="2">
        <v>1212</v>
      </c>
      <c r="Q112" s="2">
        <f t="shared" si="8"/>
        <v>228</v>
      </c>
      <c r="R112" s="2">
        <f t="shared" si="5"/>
        <v>1440</v>
      </c>
      <c r="S112" t="str">
        <f t="shared" si="9"/>
        <v>Fairly Active</v>
      </c>
      <c r="T112" s="2">
        <v>3011</v>
      </c>
    </row>
    <row r="113" spans="1:20" x14ac:dyDescent="0.25">
      <c r="A113" s="2">
        <v>1644430081</v>
      </c>
      <c r="B113" s="3">
        <v>42478</v>
      </c>
      <c r="C113" t="str">
        <f t="shared" si="6"/>
        <v>Monday</v>
      </c>
      <c r="D113" t="str">
        <f t="shared" si="7"/>
        <v>Weekday</v>
      </c>
      <c r="E113" s="2">
        <v>7132</v>
      </c>
      <c r="F113" s="2">
        <v>5.1900000569999998</v>
      </c>
      <c r="G113" s="2">
        <v>5.1900000569999998</v>
      </c>
      <c r="H113" s="2">
        <v>0</v>
      </c>
      <c r="I113" s="2">
        <v>1.0700000519999999</v>
      </c>
      <c r="J113" s="2">
        <v>1.6699999569999999</v>
      </c>
      <c r="K113" s="2">
        <v>2.4500000480000002</v>
      </c>
      <c r="L113" s="2">
        <v>0</v>
      </c>
      <c r="M113" s="2">
        <v>15</v>
      </c>
      <c r="N113" s="2">
        <v>33</v>
      </c>
      <c r="O113" s="2">
        <v>121</v>
      </c>
      <c r="P113" s="2">
        <v>1271</v>
      </c>
      <c r="Q113" s="2">
        <f t="shared" si="8"/>
        <v>169</v>
      </c>
      <c r="R113" s="2">
        <f t="shared" si="5"/>
        <v>1440</v>
      </c>
      <c r="S113" t="str">
        <f t="shared" si="9"/>
        <v>Lightly Active</v>
      </c>
      <c r="T113" s="2">
        <v>2806</v>
      </c>
    </row>
    <row r="114" spans="1:20" x14ac:dyDescent="0.25">
      <c r="A114" s="2">
        <v>1644430081</v>
      </c>
      <c r="B114" s="3">
        <v>42479</v>
      </c>
      <c r="C114" t="str">
        <f t="shared" si="6"/>
        <v>Tuesday</v>
      </c>
      <c r="D114" t="str">
        <f t="shared" si="7"/>
        <v>Weekday</v>
      </c>
      <c r="E114" s="2">
        <v>11256</v>
      </c>
      <c r="F114" s="2">
        <v>8.1800003050000001</v>
      </c>
      <c r="G114" s="2">
        <v>8.1800003050000001</v>
      </c>
      <c r="H114" s="2">
        <v>0</v>
      </c>
      <c r="I114" s="2">
        <v>0.36000001399999998</v>
      </c>
      <c r="J114" s="2">
        <v>2.5299999710000001</v>
      </c>
      <c r="K114" s="2">
        <v>5.3000001909999996</v>
      </c>
      <c r="L114" s="2">
        <v>0</v>
      </c>
      <c r="M114" s="2">
        <v>5</v>
      </c>
      <c r="N114" s="2">
        <v>58</v>
      </c>
      <c r="O114" s="2">
        <v>278</v>
      </c>
      <c r="P114" s="2">
        <v>1099</v>
      </c>
      <c r="Q114" s="2">
        <f t="shared" si="8"/>
        <v>341</v>
      </c>
      <c r="R114" s="2">
        <f t="shared" si="5"/>
        <v>1440</v>
      </c>
      <c r="S114" t="str">
        <f t="shared" si="9"/>
        <v>Highly Active</v>
      </c>
      <c r="T114" s="2">
        <v>3300</v>
      </c>
    </row>
    <row r="115" spans="1:20" x14ac:dyDescent="0.25">
      <c r="A115" s="2">
        <v>1644430081</v>
      </c>
      <c r="B115" s="3">
        <v>42480</v>
      </c>
      <c r="C115" t="str">
        <f t="shared" si="6"/>
        <v>Wednesday</v>
      </c>
      <c r="D115" t="str">
        <f t="shared" si="7"/>
        <v>Weekday</v>
      </c>
      <c r="E115" s="2">
        <v>2436</v>
      </c>
      <c r="F115" s="2">
        <v>1.769999981</v>
      </c>
      <c r="G115" s="2">
        <v>1.769999981</v>
      </c>
      <c r="H115" s="2">
        <v>0</v>
      </c>
      <c r="I115" s="2">
        <v>0</v>
      </c>
      <c r="J115" s="2">
        <v>0</v>
      </c>
      <c r="K115" s="2">
        <v>1.7599999900000001</v>
      </c>
      <c r="L115" s="2">
        <v>0.01</v>
      </c>
      <c r="M115" s="2">
        <v>0</v>
      </c>
      <c r="N115" s="2">
        <v>0</v>
      </c>
      <c r="O115" s="2">
        <v>125</v>
      </c>
      <c r="P115" s="2">
        <v>1315</v>
      </c>
      <c r="Q115" s="2">
        <f t="shared" si="8"/>
        <v>125</v>
      </c>
      <c r="R115" s="2">
        <f t="shared" si="5"/>
        <v>1440</v>
      </c>
      <c r="S115" t="str">
        <f t="shared" si="9"/>
        <v>Sedentary</v>
      </c>
      <c r="T115" s="2">
        <v>2430</v>
      </c>
    </row>
    <row r="116" spans="1:20" x14ac:dyDescent="0.25">
      <c r="A116" s="2">
        <v>1644430081</v>
      </c>
      <c r="B116" s="3">
        <v>42481</v>
      </c>
      <c r="C116" t="str">
        <f t="shared" si="6"/>
        <v>Thursday</v>
      </c>
      <c r="D116" t="str">
        <f t="shared" si="7"/>
        <v>Weekday</v>
      </c>
      <c r="E116" s="2">
        <v>1223</v>
      </c>
      <c r="F116" s="2">
        <v>0.88999998599999997</v>
      </c>
      <c r="G116" s="2">
        <v>0.88999998599999997</v>
      </c>
      <c r="H116" s="2">
        <v>0</v>
      </c>
      <c r="I116" s="2">
        <v>0</v>
      </c>
      <c r="J116" s="2">
        <v>0</v>
      </c>
      <c r="K116" s="2">
        <v>0.87999999500000003</v>
      </c>
      <c r="L116" s="2">
        <v>0.01</v>
      </c>
      <c r="M116" s="2">
        <v>0</v>
      </c>
      <c r="N116" s="2">
        <v>0</v>
      </c>
      <c r="O116" s="2">
        <v>38</v>
      </c>
      <c r="P116" s="2">
        <v>1402</v>
      </c>
      <c r="Q116" s="2">
        <f t="shared" si="8"/>
        <v>38</v>
      </c>
      <c r="R116" s="2">
        <f t="shared" si="5"/>
        <v>1440</v>
      </c>
      <c r="S116" t="str">
        <f t="shared" si="9"/>
        <v>Sedentary</v>
      </c>
      <c r="T116" s="2">
        <v>2140</v>
      </c>
    </row>
    <row r="117" spans="1:20" x14ac:dyDescent="0.25">
      <c r="A117" s="2">
        <v>1644430081</v>
      </c>
      <c r="B117" s="3">
        <v>42482</v>
      </c>
      <c r="C117" t="str">
        <f t="shared" si="6"/>
        <v>Friday</v>
      </c>
      <c r="D117" t="str">
        <f t="shared" si="7"/>
        <v>Weekday</v>
      </c>
      <c r="E117" s="2">
        <v>3673</v>
      </c>
      <c r="F117" s="2">
        <v>2.670000076</v>
      </c>
      <c r="G117" s="2">
        <v>2.670000076</v>
      </c>
      <c r="H117" s="2">
        <v>0</v>
      </c>
      <c r="I117" s="2">
        <v>0</v>
      </c>
      <c r="J117" s="2">
        <v>0</v>
      </c>
      <c r="K117" s="2">
        <v>2.6600000860000002</v>
      </c>
      <c r="L117" s="2">
        <v>0.01</v>
      </c>
      <c r="M117" s="2">
        <v>0</v>
      </c>
      <c r="N117" s="2">
        <v>0</v>
      </c>
      <c r="O117" s="2">
        <v>86</v>
      </c>
      <c r="P117" s="2">
        <v>1354</v>
      </c>
      <c r="Q117" s="2">
        <f t="shared" si="8"/>
        <v>86</v>
      </c>
      <c r="R117" s="2">
        <f t="shared" si="5"/>
        <v>1440</v>
      </c>
      <c r="S117" t="str">
        <f t="shared" si="9"/>
        <v>Sedentary</v>
      </c>
      <c r="T117" s="2">
        <v>2344</v>
      </c>
    </row>
    <row r="118" spans="1:20" x14ac:dyDescent="0.25">
      <c r="A118" s="2">
        <v>1644430081</v>
      </c>
      <c r="B118" s="3">
        <v>42483</v>
      </c>
      <c r="C118" t="str">
        <f t="shared" si="6"/>
        <v>Saturday</v>
      </c>
      <c r="D118" t="str">
        <f t="shared" si="7"/>
        <v>Weekend</v>
      </c>
      <c r="E118" s="2">
        <v>6637</v>
      </c>
      <c r="F118" s="2">
        <v>4.829999924</v>
      </c>
      <c r="G118" s="2">
        <v>4.829999924</v>
      </c>
      <c r="H118" s="2">
        <v>0</v>
      </c>
      <c r="I118" s="2">
        <v>0</v>
      </c>
      <c r="J118" s="2">
        <v>0.579999983</v>
      </c>
      <c r="K118" s="2">
        <v>4.25</v>
      </c>
      <c r="L118" s="2">
        <v>0</v>
      </c>
      <c r="M118" s="2">
        <v>0</v>
      </c>
      <c r="N118" s="2">
        <v>15</v>
      </c>
      <c r="O118" s="2">
        <v>160</v>
      </c>
      <c r="P118" s="2">
        <v>1265</v>
      </c>
      <c r="Q118" s="2">
        <f t="shared" si="8"/>
        <v>175</v>
      </c>
      <c r="R118" s="2">
        <f t="shared" si="5"/>
        <v>1440</v>
      </c>
      <c r="S118" t="str">
        <f t="shared" si="9"/>
        <v>Lightly Active</v>
      </c>
      <c r="T118" s="2">
        <v>2677</v>
      </c>
    </row>
    <row r="119" spans="1:20" x14ac:dyDescent="0.25">
      <c r="A119" s="2">
        <v>1644430081</v>
      </c>
      <c r="B119" s="3">
        <v>42484</v>
      </c>
      <c r="C119" t="str">
        <f t="shared" si="6"/>
        <v>Sunday</v>
      </c>
      <c r="D119" t="str">
        <f t="shared" si="7"/>
        <v>Weekend</v>
      </c>
      <c r="E119" s="2">
        <v>3321</v>
      </c>
      <c r="F119" s="2">
        <v>2.4100000860000002</v>
      </c>
      <c r="G119" s="2">
        <v>2.4100000860000002</v>
      </c>
      <c r="H119" s="2">
        <v>0</v>
      </c>
      <c r="I119" s="2">
        <v>0</v>
      </c>
      <c r="J119" s="2">
        <v>0</v>
      </c>
      <c r="K119" s="2">
        <v>2.4100000860000002</v>
      </c>
      <c r="L119" s="2">
        <v>0</v>
      </c>
      <c r="M119" s="2">
        <v>0</v>
      </c>
      <c r="N119" s="2">
        <v>0</v>
      </c>
      <c r="O119" s="2">
        <v>89</v>
      </c>
      <c r="P119" s="2">
        <v>1351</v>
      </c>
      <c r="Q119" s="2">
        <f t="shared" si="8"/>
        <v>89</v>
      </c>
      <c r="R119" s="2">
        <f t="shared" si="5"/>
        <v>1440</v>
      </c>
      <c r="S119" t="str">
        <f t="shared" si="9"/>
        <v>Sedentary</v>
      </c>
      <c r="T119" s="2">
        <v>2413</v>
      </c>
    </row>
    <row r="120" spans="1:20" x14ac:dyDescent="0.25">
      <c r="A120" s="2">
        <v>1644430081</v>
      </c>
      <c r="B120" s="3">
        <v>42485</v>
      </c>
      <c r="C120" t="str">
        <f t="shared" si="6"/>
        <v>Monday</v>
      </c>
      <c r="D120" t="str">
        <f t="shared" si="7"/>
        <v>Weekday</v>
      </c>
      <c r="E120" s="2">
        <v>3580</v>
      </c>
      <c r="F120" s="2">
        <v>2.5999999049999998</v>
      </c>
      <c r="G120" s="2">
        <v>2.5999999049999998</v>
      </c>
      <c r="H120" s="2">
        <v>0</v>
      </c>
      <c r="I120" s="2">
        <v>0.58999997400000004</v>
      </c>
      <c r="J120" s="2">
        <v>5.9999998999999998E-2</v>
      </c>
      <c r="K120" s="2">
        <v>1.9500000479999999</v>
      </c>
      <c r="L120" s="2">
        <v>0</v>
      </c>
      <c r="M120" s="2">
        <v>8</v>
      </c>
      <c r="N120" s="2">
        <v>1</v>
      </c>
      <c r="O120" s="2">
        <v>94</v>
      </c>
      <c r="P120" s="2">
        <v>1337</v>
      </c>
      <c r="Q120" s="2">
        <f t="shared" si="8"/>
        <v>103</v>
      </c>
      <c r="R120" s="2">
        <f t="shared" si="5"/>
        <v>1440</v>
      </c>
      <c r="S120" t="str">
        <f t="shared" si="9"/>
        <v>Sedentary</v>
      </c>
      <c r="T120" s="2">
        <v>2497</v>
      </c>
    </row>
    <row r="121" spans="1:20" x14ac:dyDescent="0.25">
      <c r="A121" s="2">
        <v>1644430081</v>
      </c>
      <c r="B121" s="3">
        <v>42486</v>
      </c>
      <c r="C121" t="str">
        <f t="shared" si="6"/>
        <v>Tuesday</v>
      </c>
      <c r="D121" t="str">
        <f t="shared" si="7"/>
        <v>Weekday</v>
      </c>
      <c r="E121" s="2">
        <v>9919</v>
      </c>
      <c r="F121" s="2">
        <v>7.2100000380000004</v>
      </c>
      <c r="G121" s="2">
        <v>7.2100000380000004</v>
      </c>
      <c r="H121" s="2">
        <v>0</v>
      </c>
      <c r="I121" s="2">
        <v>0.80000001200000004</v>
      </c>
      <c r="J121" s="2">
        <v>1.7200000289999999</v>
      </c>
      <c r="K121" s="2">
        <v>4.6900000569999998</v>
      </c>
      <c r="L121" s="2">
        <v>0</v>
      </c>
      <c r="M121" s="2">
        <v>11</v>
      </c>
      <c r="N121" s="2">
        <v>41</v>
      </c>
      <c r="O121" s="2">
        <v>223</v>
      </c>
      <c r="P121" s="2">
        <v>1165</v>
      </c>
      <c r="Q121" s="2">
        <f t="shared" si="8"/>
        <v>275</v>
      </c>
      <c r="R121" s="2">
        <f t="shared" si="5"/>
        <v>1440</v>
      </c>
      <c r="S121" t="str">
        <f t="shared" si="9"/>
        <v>Fairly Active</v>
      </c>
      <c r="T121" s="2">
        <v>3123</v>
      </c>
    </row>
    <row r="122" spans="1:20" x14ac:dyDescent="0.25">
      <c r="A122" s="2">
        <v>1644430081</v>
      </c>
      <c r="B122" s="3">
        <v>42487</v>
      </c>
      <c r="C122" t="str">
        <f t="shared" si="6"/>
        <v>Wednesday</v>
      </c>
      <c r="D122" t="str">
        <f t="shared" si="7"/>
        <v>Weekday</v>
      </c>
      <c r="E122" s="2">
        <v>3032</v>
      </c>
      <c r="F122" s="2">
        <v>2.2000000480000002</v>
      </c>
      <c r="G122" s="2">
        <v>2.2000000480000002</v>
      </c>
      <c r="H122" s="2">
        <v>0</v>
      </c>
      <c r="I122" s="2">
        <v>0</v>
      </c>
      <c r="J122" s="2">
        <v>0</v>
      </c>
      <c r="K122" s="2">
        <v>2.2000000480000002</v>
      </c>
      <c r="L122" s="2">
        <v>0</v>
      </c>
      <c r="M122" s="2">
        <v>0</v>
      </c>
      <c r="N122" s="2">
        <v>0</v>
      </c>
      <c r="O122" s="2">
        <v>118</v>
      </c>
      <c r="P122" s="2">
        <v>1322</v>
      </c>
      <c r="Q122" s="2">
        <f t="shared" si="8"/>
        <v>118</v>
      </c>
      <c r="R122" s="2">
        <f t="shared" si="5"/>
        <v>1440</v>
      </c>
      <c r="S122" t="str">
        <f t="shared" si="9"/>
        <v>Sedentary</v>
      </c>
      <c r="T122" s="2">
        <v>2489</v>
      </c>
    </row>
    <row r="123" spans="1:20" x14ac:dyDescent="0.25">
      <c r="A123" s="2">
        <v>1644430081</v>
      </c>
      <c r="B123" s="3">
        <v>42488</v>
      </c>
      <c r="C123" t="str">
        <f t="shared" si="6"/>
        <v>Thursday</v>
      </c>
      <c r="D123" t="str">
        <f t="shared" si="7"/>
        <v>Weekday</v>
      </c>
      <c r="E123" s="2">
        <v>9405</v>
      </c>
      <c r="F123" s="2">
        <v>6.8400001530000001</v>
      </c>
      <c r="G123" s="2">
        <v>6.8400001530000001</v>
      </c>
      <c r="H123" s="2">
        <v>0</v>
      </c>
      <c r="I123" s="2">
        <v>0.20000000300000001</v>
      </c>
      <c r="J123" s="2">
        <v>2.3199999330000001</v>
      </c>
      <c r="K123" s="2">
        <v>4.3099999430000002</v>
      </c>
      <c r="L123" s="2">
        <v>0</v>
      </c>
      <c r="M123" s="2">
        <v>3</v>
      </c>
      <c r="N123" s="2">
        <v>53</v>
      </c>
      <c r="O123" s="2">
        <v>227</v>
      </c>
      <c r="P123" s="2">
        <v>1157</v>
      </c>
      <c r="Q123" s="2">
        <f t="shared" si="8"/>
        <v>283</v>
      </c>
      <c r="R123" s="2">
        <f t="shared" si="5"/>
        <v>1440</v>
      </c>
      <c r="S123" t="str">
        <f t="shared" si="9"/>
        <v>Fairly Active</v>
      </c>
      <c r="T123" s="2">
        <v>3108</v>
      </c>
    </row>
    <row r="124" spans="1:20" x14ac:dyDescent="0.25">
      <c r="A124" s="2">
        <v>1644430081</v>
      </c>
      <c r="B124" s="3">
        <v>42489</v>
      </c>
      <c r="C124" t="str">
        <f t="shared" si="6"/>
        <v>Friday</v>
      </c>
      <c r="D124" t="str">
        <f t="shared" si="7"/>
        <v>Weekday</v>
      </c>
      <c r="E124" s="2">
        <v>3176</v>
      </c>
      <c r="F124" s="2">
        <v>2.3099999430000002</v>
      </c>
      <c r="G124" s="2">
        <v>2.3099999430000002</v>
      </c>
      <c r="H124" s="2">
        <v>0</v>
      </c>
      <c r="I124" s="2">
        <v>0</v>
      </c>
      <c r="J124" s="2">
        <v>0</v>
      </c>
      <c r="K124" s="2">
        <v>2.3099999430000002</v>
      </c>
      <c r="L124" s="2">
        <v>0</v>
      </c>
      <c r="M124" s="2">
        <v>0</v>
      </c>
      <c r="N124" s="2">
        <v>0</v>
      </c>
      <c r="O124" s="2">
        <v>120</v>
      </c>
      <c r="P124" s="2">
        <v>1193</v>
      </c>
      <c r="Q124" s="2">
        <f t="shared" si="8"/>
        <v>120</v>
      </c>
      <c r="R124" s="2">
        <f t="shared" si="5"/>
        <v>1313</v>
      </c>
      <c r="S124" t="str">
        <f t="shared" si="9"/>
        <v>Sedentary</v>
      </c>
      <c r="T124" s="2">
        <v>2498</v>
      </c>
    </row>
    <row r="125" spans="1:20" x14ac:dyDescent="0.25">
      <c r="A125" s="2">
        <v>1644430081</v>
      </c>
      <c r="B125" s="3">
        <v>42490</v>
      </c>
      <c r="C125" t="str">
        <f t="shared" si="6"/>
        <v>Saturday</v>
      </c>
      <c r="D125" t="str">
        <f t="shared" si="7"/>
        <v>Weekend</v>
      </c>
      <c r="E125" s="2">
        <v>18213</v>
      </c>
      <c r="F125" s="2">
        <v>13.239999770000001</v>
      </c>
      <c r="G125" s="2">
        <v>13.239999770000001</v>
      </c>
      <c r="H125" s="2">
        <v>0</v>
      </c>
      <c r="I125" s="2">
        <v>0.62999999500000003</v>
      </c>
      <c r="J125" s="2">
        <v>3.1400001049999999</v>
      </c>
      <c r="K125" s="2">
        <v>9.4600000380000004</v>
      </c>
      <c r="L125" s="2">
        <v>0</v>
      </c>
      <c r="M125" s="2">
        <v>9</v>
      </c>
      <c r="N125" s="2">
        <v>71</v>
      </c>
      <c r="O125" s="2">
        <v>402</v>
      </c>
      <c r="P125" s="2">
        <v>816</v>
      </c>
      <c r="Q125" s="2">
        <f t="shared" si="8"/>
        <v>482</v>
      </c>
      <c r="R125" s="2">
        <f t="shared" si="5"/>
        <v>1298</v>
      </c>
      <c r="S125" t="str">
        <f t="shared" si="9"/>
        <v>Highly Active</v>
      </c>
      <c r="T125" s="2">
        <v>3846</v>
      </c>
    </row>
    <row r="126" spans="1:20" x14ac:dyDescent="0.25">
      <c r="A126" s="2">
        <v>1644430081</v>
      </c>
      <c r="B126" s="3">
        <v>42491</v>
      </c>
      <c r="C126" t="str">
        <f t="shared" si="6"/>
        <v>Sunday</v>
      </c>
      <c r="D126" t="str">
        <f t="shared" si="7"/>
        <v>Weekend</v>
      </c>
      <c r="E126" s="2">
        <v>6132</v>
      </c>
      <c r="F126" s="2">
        <v>4.4600000380000004</v>
      </c>
      <c r="G126" s="2">
        <v>4.4600000380000004</v>
      </c>
      <c r="H126" s="2">
        <v>0</v>
      </c>
      <c r="I126" s="2">
        <v>0.23999999499999999</v>
      </c>
      <c r="J126" s="2">
        <v>0.99000001000000004</v>
      </c>
      <c r="K126" s="2">
        <v>3.2300000190000002</v>
      </c>
      <c r="L126" s="2">
        <v>0</v>
      </c>
      <c r="M126" s="2">
        <v>3</v>
      </c>
      <c r="N126" s="2">
        <v>24</v>
      </c>
      <c r="O126" s="2">
        <v>146</v>
      </c>
      <c r="P126" s="2">
        <v>908</v>
      </c>
      <c r="Q126" s="2">
        <f t="shared" si="8"/>
        <v>173</v>
      </c>
      <c r="R126" s="2">
        <f t="shared" si="5"/>
        <v>1081</v>
      </c>
      <c r="S126" t="str">
        <f t="shared" si="9"/>
        <v>Lightly Active</v>
      </c>
      <c r="T126" s="2">
        <v>2696</v>
      </c>
    </row>
    <row r="127" spans="1:20" x14ac:dyDescent="0.25">
      <c r="A127" s="2">
        <v>1644430081</v>
      </c>
      <c r="B127" s="3">
        <v>42492</v>
      </c>
      <c r="C127" t="str">
        <f t="shared" si="6"/>
        <v>Monday</v>
      </c>
      <c r="D127" t="str">
        <f t="shared" si="7"/>
        <v>Weekday</v>
      </c>
      <c r="E127" s="2">
        <v>3758</v>
      </c>
      <c r="F127" s="2">
        <v>2.7300000190000002</v>
      </c>
      <c r="G127" s="2">
        <v>2.7300000190000002</v>
      </c>
      <c r="H127" s="2">
        <v>0</v>
      </c>
      <c r="I127" s="2">
        <v>7.0000000000000007E-2</v>
      </c>
      <c r="J127" s="2">
        <v>0.310000002</v>
      </c>
      <c r="K127" s="2">
        <v>2.3499999049999998</v>
      </c>
      <c r="L127" s="2">
        <v>0</v>
      </c>
      <c r="M127" s="2">
        <v>1</v>
      </c>
      <c r="N127" s="2">
        <v>7</v>
      </c>
      <c r="O127" s="2">
        <v>148</v>
      </c>
      <c r="P127" s="2">
        <v>682</v>
      </c>
      <c r="Q127" s="2">
        <f t="shared" si="8"/>
        <v>156</v>
      </c>
      <c r="R127" s="2">
        <f t="shared" si="5"/>
        <v>838</v>
      </c>
      <c r="S127" t="str">
        <f t="shared" si="9"/>
        <v>Sedentary</v>
      </c>
      <c r="T127" s="2">
        <v>2580</v>
      </c>
    </row>
    <row r="128" spans="1:20" x14ac:dyDescent="0.25">
      <c r="A128" s="2">
        <v>1644430081</v>
      </c>
      <c r="B128" s="3">
        <v>42493</v>
      </c>
      <c r="C128" t="str">
        <f t="shared" si="6"/>
        <v>Tuesday</v>
      </c>
      <c r="D128" t="str">
        <f t="shared" si="7"/>
        <v>Weekday</v>
      </c>
      <c r="E128" s="2">
        <v>12850</v>
      </c>
      <c r="F128" s="2">
        <v>9.3400001530000001</v>
      </c>
      <c r="G128" s="2">
        <v>9.3400001530000001</v>
      </c>
      <c r="H128" s="2">
        <v>0</v>
      </c>
      <c r="I128" s="2">
        <v>0.72000002900000004</v>
      </c>
      <c r="J128" s="2">
        <v>4.0900001530000001</v>
      </c>
      <c r="K128" s="2">
        <v>4.5399999619999996</v>
      </c>
      <c r="L128" s="2">
        <v>0</v>
      </c>
      <c r="M128" s="2">
        <v>10</v>
      </c>
      <c r="N128" s="2">
        <v>94</v>
      </c>
      <c r="O128" s="2">
        <v>221</v>
      </c>
      <c r="P128" s="2">
        <v>1115</v>
      </c>
      <c r="Q128" s="2">
        <f t="shared" si="8"/>
        <v>325</v>
      </c>
      <c r="R128" s="2">
        <f t="shared" si="5"/>
        <v>1440</v>
      </c>
      <c r="S128" t="str">
        <f t="shared" si="9"/>
        <v>Highly Active</v>
      </c>
      <c r="T128" s="2">
        <v>3324</v>
      </c>
    </row>
    <row r="129" spans="1:20" x14ac:dyDescent="0.25">
      <c r="A129" s="2">
        <v>1644430081</v>
      </c>
      <c r="B129" s="3">
        <v>42494</v>
      </c>
      <c r="C129" t="str">
        <f t="shared" si="6"/>
        <v>Wednesday</v>
      </c>
      <c r="D129" t="str">
        <f t="shared" si="7"/>
        <v>Weekday</v>
      </c>
      <c r="E129" s="2">
        <v>2309</v>
      </c>
      <c r="F129" s="2">
        <v>1.6799999480000001</v>
      </c>
      <c r="G129" s="2">
        <v>1.6799999480000001</v>
      </c>
      <c r="H129" s="2">
        <v>0</v>
      </c>
      <c r="I129" s="2">
        <v>0</v>
      </c>
      <c r="J129" s="2">
        <v>0</v>
      </c>
      <c r="K129" s="2">
        <v>1.6599999670000001</v>
      </c>
      <c r="L129" s="2">
        <v>0.02</v>
      </c>
      <c r="M129" s="2">
        <v>0</v>
      </c>
      <c r="N129" s="2">
        <v>0</v>
      </c>
      <c r="O129" s="2">
        <v>52</v>
      </c>
      <c r="P129" s="2">
        <v>1388</v>
      </c>
      <c r="Q129" s="2">
        <f t="shared" si="8"/>
        <v>52</v>
      </c>
      <c r="R129" s="2">
        <f t="shared" ref="R129:R183" si="10">SUM(M129:P129)</f>
        <v>1440</v>
      </c>
      <c r="S129" t="str">
        <f t="shared" si="9"/>
        <v>Sedentary</v>
      </c>
      <c r="T129" s="2">
        <v>2222</v>
      </c>
    </row>
    <row r="130" spans="1:20" x14ac:dyDescent="0.25">
      <c r="A130" s="2">
        <v>1644430081</v>
      </c>
      <c r="B130" s="3">
        <v>42495</v>
      </c>
      <c r="C130" t="str">
        <f t="shared" ref="C130:C184" si="11">CHOOSE(WEEKDAY(B130), "Sunday", "Monday", "Tuesday", "Wednesday", "Thursday", "Friday", "Saturday")</f>
        <v>Thursday</v>
      </c>
      <c r="D130" t="str">
        <f t="shared" si="7"/>
        <v>Weekday</v>
      </c>
      <c r="E130" s="2">
        <v>4363</v>
      </c>
      <c r="F130" s="2">
        <v>3.1900000569999998</v>
      </c>
      <c r="G130" s="2">
        <v>3.1900000569999998</v>
      </c>
      <c r="H130" s="2">
        <v>0</v>
      </c>
      <c r="I130" s="2">
        <v>0.519999981</v>
      </c>
      <c r="J130" s="2">
        <v>0.540000021</v>
      </c>
      <c r="K130" s="2">
        <v>2.130000114</v>
      </c>
      <c r="L130" s="2">
        <v>0.01</v>
      </c>
      <c r="M130" s="2">
        <v>6</v>
      </c>
      <c r="N130" s="2">
        <v>12</v>
      </c>
      <c r="O130" s="2">
        <v>81</v>
      </c>
      <c r="P130" s="2">
        <v>1341</v>
      </c>
      <c r="Q130" s="2">
        <f t="shared" ref="Q130:Q184" si="12">SUM(M130:O130)</f>
        <v>99</v>
      </c>
      <c r="R130" s="2">
        <f t="shared" si="10"/>
        <v>1440</v>
      </c>
      <c r="S130" t="str">
        <f t="shared" si="9"/>
        <v>Sedentary</v>
      </c>
      <c r="T130" s="2">
        <v>2463</v>
      </c>
    </row>
    <row r="131" spans="1:20" x14ac:dyDescent="0.25">
      <c r="A131" s="2">
        <v>1644430081</v>
      </c>
      <c r="B131" s="3">
        <v>42496</v>
      </c>
      <c r="C131" t="str">
        <f t="shared" si="11"/>
        <v>Friday</v>
      </c>
      <c r="D131" t="str">
        <f t="shared" ref="D131:D194" si="13">IF(OR(C131="Saturday", C131="Sunday"), "Weekend", "Weekday")</f>
        <v>Weekday</v>
      </c>
      <c r="E131" s="2">
        <v>9787</v>
      </c>
      <c r="F131" s="2">
        <v>7.1199998860000004</v>
      </c>
      <c r="G131" s="2">
        <v>7.1199998860000004</v>
      </c>
      <c r="H131" s="2">
        <v>0</v>
      </c>
      <c r="I131" s="2">
        <v>0.81999999300000004</v>
      </c>
      <c r="J131" s="2">
        <v>0.27000001099999998</v>
      </c>
      <c r="K131" s="2">
        <v>6.0100002290000001</v>
      </c>
      <c r="L131" s="2">
        <v>0.02</v>
      </c>
      <c r="M131" s="2">
        <v>11</v>
      </c>
      <c r="N131" s="2">
        <v>6</v>
      </c>
      <c r="O131" s="2">
        <v>369</v>
      </c>
      <c r="P131" s="2">
        <v>1054</v>
      </c>
      <c r="Q131" s="2">
        <f t="shared" si="12"/>
        <v>386</v>
      </c>
      <c r="R131" s="2">
        <f t="shared" si="10"/>
        <v>1440</v>
      </c>
      <c r="S131" t="str">
        <f t="shared" ref="S131:S194" si="14">IF(E131&lt;5000, "Sedentary", IF(E131&lt;7500, "Lightly Active", IF(E131&lt;10000, "Fairly Active", "Highly Active")))</f>
        <v>Fairly Active</v>
      </c>
      <c r="T131" s="2">
        <v>3328</v>
      </c>
    </row>
    <row r="132" spans="1:20" x14ac:dyDescent="0.25">
      <c r="A132" s="2">
        <v>1644430081</v>
      </c>
      <c r="B132" s="3">
        <v>42497</v>
      </c>
      <c r="C132" t="str">
        <f t="shared" si="11"/>
        <v>Saturday</v>
      </c>
      <c r="D132" t="str">
        <f t="shared" si="13"/>
        <v>Weekend</v>
      </c>
      <c r="E132" s="2">
        <v>13372</v>
      </c>
      <c r="F132" s="2">
        <v>9.7200002669999996</v>
      </c>
      <c r="G132" s="2">
        <v>9.7200002669999996</v>
      </c>
      <c r="H132" s="2">
        <v>0</v>
      </c>
      <c r="I132" s="2">
        <v>3.2599999899999998</v>
      </c>
      <c r="J132" s="2">
        <v>0.790000021</v>
      </c>
      <c r="K132" s="2">
        <v>5.670000076</v>
      </c>
      <c r="L132" s="2">
        <v>0.01</v>
      </c>
      <c r="M132" s="2">
        <v>41</v>
      </c>
      <c r="N132" s="2">
        <v>17</v>
      </c>
      <c r="O132" s="2">
        <v>243</v>
      </c>
      <c r="P132" s="2">
        <v>1139</v>
      </c>
      <c r="Q132" s="2">
        <f t="shared" si="12"/>
        <v>301</v>
      </c>
      <c r="R132" s="2">
        <f t="shared" si="10"/>
        <v>1440</v>
      </c>
      <c r="S132" t="str">
        <f t="shared" si="14"/>
        <v>Highly Active</v>
      </c>
      <c r="T132" s="2">
        <v>3404</v>
      </c>
    </row>
    <row r="133" spans="1:20" x14ac:dyDescent="0.25">
      <c r="A133" s="2">
        <v>1644430081</v>
      </c>
      <c r="B133" s="3">
        <v>42498</v>
      </c>
      <c r="C133" t="str">
        <f t="shared" si="11"/>
        <v>Sunday</v>
      </c>
      <c r="D133" t="str">
        <f t="shared" si="13"/>
        <v>Weekend</v>
      </c>
      <c r="E133" s="2">
        <v>6724</v>
      </c>
      <c r="F133" s="2">
        <v>4.8899998660000001</v>
      </c>
      <c r="G133" s="2">
        <v>4.8899998660000001</v>
      </c>
      <c r="H133" s="2">
        <v>0</v>
      </c>
      <c r="I133" s="2">
        <v>0</v>
      </c>
      <c r="J133" s="2">
        <v>0</v>
      </c>
      <c r="K133" s="2">
        <v>4.8800001139999996</v>
      </c>
      <c r="L133" s="2">
        <v>0</v>
      </c>
      <c r="M133" s="2">
        <v>0</v>
      </c>
      <c r="N133" s="2">
        <v>0</v>
      </c>
      <c r="O133" s="2">
        <v>295</v>
      </c>
      <c r="P133" s="2">
        <v>991</v>
      </c>
      <c r="Q133" s="2">
        <f t="shared" si="12"/>
        <v>295</v>
      </c>
      <c r="R133" s="2">
        <f t="shared" si="10"/>
        <v>1286</v>
      </c>
      <c r="S133" t="str">
        <f t="shared" si="14"/>
        <v>Lightly Active</v>
      </c>
      <c r="T133" s="2">
        <v>2987</v>
      </c>
    </row>
    <row r="134" spans="1:20" x14ac:dyDescent="0.25">
      <c r="A134" s="2">
        <v>1644430081</v>
      </c>
      <c r="B134" s="3">
        <v>42499</v>
      </c>
      <c r="C134" t="str">
        <f t="shared" si="11"/>
        <v>Monday</v>
      </c>
      <c r="D134" t="str">
        <f t="shared" si="13"/>
        <v>Weekday</v>
      </c>
      <c r="E134" s="2">
        <v>6643</v>
      </c>
      <c r="F134" s="2">
        <v>4.829999924</v>
      </c>
      <c r="G134" s="2">
        <v>4.829999924</v>
      </c>
      <c r="H134" s="2">
        <v>0</v>
      </c>
      <c r="I134" s="2">
        <v>2.3900001049999999</v>
      </c>
      <c r="J134" s="2">
        <v>0.34999999399999998</v>
      </c>
      <c r="K134" s="2">
        <v>2.0899999139999998</v>
      </c>
      <c r="L134" s="2">
        <v>0.01</v>
      </c>
      <c r="M134" s="2">
        <v>32</v>
      </c>
      <c r="N134" s="2">
        <v>6</v>
      </c>
      <c r="O134" s="2">
        <v>303</v>
      </c>
      <c r="P134" s="2">
        <v>1099</v>
      </c>
      <c r="Q134" s="2">
        <f t="shared" si="12"/>
        <v>341</v>
      </c>
      <c r="R134" s="2">
        <f t="shared" si="10"/>
        <v>1440</v>
      </c>
      <c r="S134" t="str">
        <f t="shared" si="14"/>
        <v>Lightly Active</v>
      </c>
      <c r="T134" s="2">
        <v>3008</v>
      </c>
    </row>
    <row r="135" spans="1:20" x14ac:dyDescent="0.25">
      <c r="A135" s="2">
        <v>1644430081</v>
      </c>
      <c r="B135" s="3">
        <v>42500</v>
      </c>
      <c r="C135" t="str">
        <f t="shared" si="11"/>
        <v>Tuesday</v>
      </c>
      <c r="D135" t="str">
        <f t="shared" si="13"/>
        <v>Weekday</v>
      </c>
      <c r="E135" s="2">
        <v>9167</v>
      </c>
      <c r="F135" s="2">
        <v>6.6599998469999999</v>
      </c>
      <c r="G135" s="2">
        <v>6.6599998469999999</v>
      </c>
      <c r="H135" s="2">
        <v>0</v>
      </c>
      <c r="I135" s="2">
        <v>0.87999999500000003</v>
      </c>
      <c r="J135" s="2">
        <v>0.810000002</v>
      </c>
      <c r="K135" s="2">
        <v>4.9699997900000001</v>
      </c>
      <c r="L135" s="2">
        <v>0.01</v>
      </c>
      <c r="M135" s="2">
        <v>12</v>
      </c>
      <c r="N135" s="2">
        <v>19</v>
      </c>
      <c r="O135" s="2">
        <v>155</v>
      </c>
      <c r="P135" s="2">
        <v>1254</v>
      </c>
      <c r="Q135" s="2">
        <f t="shared" si="12"/>
        <v>186</v>
      </c>
      <c r="R135" s="2">
        <f t="shared" si="10"/>
        <v>1440</v>
      </c>
      <c r="S135" t="str">
        <f t="shared" si="14"/>
        <v>Fairly Active</v>
      </c>
      <c r="T135" s="2">
        <v>2799</v>
      </c>
    </row>
    <row r="136" spans="1:20" x14ac:dyDescent="0.25">
      <c r="A136" s="2">
        <v>1644430081</v>
      </c>
      <c r="B136" s="3">
        <v>42501</v>
      </c>
      <c r="C136" t="str">
        <f t="shared" si="11"/>
        <v>Wednesday</v>
      </c>
      <c r="D136" t="str">
        <f t="shared" si="13"/>
        <v>Weekday</v>
      </c>
      <c r="E136" s="2">
        <v>1329</v>
      </c>
      <c r="F136" s="2">
        <v>0.97000002900000004</v>
      </c>
      <c r="G136" s="2">
        <v>0.97000002900000004</v>
      </c>
      <c r="H136" s="2">
        <v>0</v>
      </c>
      <c r="I136" s="2">
        <v>0</v>
      </c>
      <c r="J136" s="2">
        <v>0</v>
      </c>
      <c r="K136" s="2">
        <v>0.94999998799999996</v>
      </c>
      <c r="L136" s="2">
        <v>0.01</v>
      </c>
      <c r="M136" s="2">
        <v>0</v>
      </c>
      <c r="N136" s="2">
        <v>0</v>
      </c>
      <c r="O136" s="2">
        <v>49</v>
      </c>
      <c r="P136" s="2">
        <v>713</v>
      </c>
      <c r="Q136" s="2">
        <f t="shared" si="12"/>
        <v>49</v>
      </c>
      <c r="R136" s="2">
        <f t="shared" si="10"/>
        <v>762</v>
      </c>
      <c r="S136" t="str">
        <f t="shared" si="14"/>
        <v>Sedentary</v>
      </c>
      <c r="T136" s="2">
        <v>1276</v>
      </c>
    </row>
    <row r="137" spans="1:20" x14ac:dyDescent="0.25">
      <c r="A137" s="2">
        <v>1844505072</v>
      </c>
      <c r="B137" s="3">
        <v>42461</v>
      </c>
      <c r="C137" t="str">
        <f t="shared" si="11"/>
        <v>Friday</v>
      </c>
      <c r="D137" t="str">
        <f t="shared" si="13"/>
        <v>Weekday</v>
      </c>
      <c r="E137" s="2">
        <v>6847</v>
      </c>
      <c r="F137" s="2">
        <v>4.5300002099999999</v>
      </c>
      <c r="G137" s="2">
        <v>4.5300002099999999</v>
      </c>
      <c r="H137" s="2">
        <v>0</v>
      </c>
      <c r="I137" s="2">
        <v>0.61000001400000003</v>
      </c>
      <c r="J137" s="2">
        <v>0.37000000500000002</v>
      </c>
      <c r="K137" s="2">
        <v>3.5499999519999998</v>
      </c>
      <c r="L137" s="2">
        <v>0</v>
      </c>
      <c r="M137" s="2">
        <v>9</v>
      </c>
      <c r="N137" s="2">
        <v>9</v>
      </c>
      <c r="O137" s="2">
        <v>251</v>
      </c>
      <c r="P137" s="2">
        <v>1171</v>
      </c>
      <c r="Q137" s="2">
        <f t="shared" si="12"/>
        <v>269</v>
      </c>
      <c r="R137" s="2">
        <f t="shared" si="10"/>
        <v>1440</v>
      </c>
      <c r="S137" t="str">
        <f t="shared" si="14"/>
        <v>Lightly Active</v>
      </c>
      <c r="T137" s="2">
        <v>1969</v>
      </c>
    </row>
    <row r="138" spans="1:20" x14ac:dyDescent="0.25">
      <c r="A138" s="2">
        <v>1844505072</v>
      </c>
      <c r="B138" s="3">
        <v>42462</v>
      </c>
      <c r="C138" t="str">
        <f t="shared" si="11"/>
        <v>Saturday</v>
      </c>
      <c r="D138" t="str">
        <f t="shared" si="13"/>
        <v>Weekend</v>
      </c>
      <c r="E138" s="2">
        <v>5367</v>
      </c>
      <c r="F138" s="2">
        <v>3.5499999519999998</v>
      </c>
      <c r="G138" s="2">
        <v>3.5499999519999998</v>
      </c>
      <c r="H138" s="2">
        <v>0</v>
      </c>
      <c r="I138" s="2">
        <v>0</v>
      </c>
      <c r="J138" s="2">
        <v>0</v>
      </c>
      <c r="K138" s="2">
        <v>3.5499999519999998</v>
      </c>
      <c r="L138" s="2">
        <v>0</v>
      </c>
      <c r="M138" s="2">
        <v>0</v>
      </c>
      <c r="N138" s="2">
        <v>0</v>
      </c>
      <c r="O138" s="2">
        <v>263</v>
      </c>
      <c r="P138" s="2">
        <v>1177</v>
      </c>
      <c r="Q138" s="2">
        <f t="shared" si="12"/>
        <v>263</v>
      </c>
      <c r="R138" s="2">
        <f t="shared" si="10"/>
        <v>1440</v>
      </c>
      <c r="S138" t="str">
        <f t="shared" si="14"/>
        <v>Lightly Active</v>
      </c>
      <c r="T138" s="2">
        <v>1889</v>
      </c>
    </row>
    <row r="139" spans="1:20" x14ac:dyDescent="0.25">
      <c r="A139" s="2">
        <v>1844505072</v>
      </c>
      <c r="B139" s="3">
        <v>42463</v>
      </c>
      <c r="C139" t="str">
        <f t="shared" si="11"/>
        <v>Sunday</v>
      </c>
      <c r="D139" t="str">
        <f t="shared" si="13"/>
        <v>Weekend</v>
      </c>
      <c r="E139" s="2">
        <v>2841</v>
      </c>
      <c r="F139" s="2">
        <v>1.8799999949999999</v>
      </c>
      <c r="G139" s="2">
        <v>1.8799999949999999</v>
      </c>
      <c r="H139" s="2">
        <v>0</v>
      </c>
      <c r="I139" s="2">
        <v>0</v>
      </c>
      <c r="J139" s="2">
        <v>0</v>
      </c>
      <c r="K139" s="2">
        <v>1.8799999949999999</v>
      </c>
      <c r="L139" s="2">
        <v>0</v>
      </c>
      <c r="M139" s="2">
        <v>0</v>
      </c>
      <c r="N139" s="2">
        <v>0</v>
      </c>
      <c r="O139" s="2">
        <v>136</v>
      </c>
      <c r="P139" s="2">
        <v>1114</v>
      </c>
      <c r="Q139" s="2">
        <f t="shared" si="12"/>
        <v>136</v>
      </c>
      <c r="R139" s="2">
        <f t="shared" si="10"/>
        <v>1250</v>
      </c>
      <c r="S139" t="str">
        <f t="shared" si="14"/>
        <v>Sedentary</v>
      </c>
      <c r="T139" s="2">
        <v>1636</v>
      </c>
    </row>
    <row r="140" spans="1:20" x14ac:dyDescent="0.25">
      <c r="A140" s="2">
        <v>1844505072</v>
      </c>
      <c r="B140" s="3">
        <v>42467</v>
      </c>
      <c r="C140" t="str">
        <f t="shared" si="11"/>
        <v>Thursday</v>
      </c>
      <c r="D140" t="str">
        <f t="shared" si="13"/>
        <v>Weekday</v>
      </c>
      <c r="E140" s="2">
        <v>6344</v>
      </c>
      <c r="F140" s="2">
        <v>4.1900000569999998</v>
      </c>
      <c r="G140" s="2">
        <v>4.1900000569999998</v>
      </c>
      <c r="H140" s="2">
        <v>0</v>
      </c>
      <c r="I140" s="2">
        <v>0</v>
      </c>
      <c r="J140" s="2">
        <v>0</v>
      </c>
      <c r="K140" s="2">
        <v>4.1900000569999998</v>
      </c>
      <c r="L140" s="2">
        <v>0</v>
      </c>
      <c r="M140" s="2">
        <v>0</v>
      </c>
      <c r="N140" s="2">
        <v>0</v>
      </c>
      <c r="O140" s="2">
        <v>290</v>
      </c>
      <c r="P140" s="2">
        <v>1150</v>
      </c>
      <c r="Q140" s="2">
        <f t="shared" si="12"/>
        <v>290</v>
      </c>
      <c r="R140" s="2">
        <f t="shared" si="10"/>
        <v>1440</v>
      </c>
      <c r="S140" t="str">
        <f t="shared" si="14"/>
        <v>Lightly Active</v>
      </c>
      <c r="T140" s="2">
        <v>1965</v>
      </c>
    </row>
    <row r="141" spans="1:20" x14ac:dyDescent="0.25">
      <c r="A141" s="2">
        <v>1844505072</v>
      </c>
      <c r="B141" s="3">
        <v>42468</v>
      </c>
      <c r="C141" t="str">
        <f t="shared" si="11"/>
        <v>Friday</v>
      </c>
      <c r="D141" t="str">
        <f t="shared" si="13"/>
        <v>Weekday</v>
      </c>
      <c r="E141" s="2">
        <v>5316</v>
      </c>
      <c r="F141" s="2">
        <v>3.5099999899999998</v>
      </c>
      <c r="G141" s="2">
        <v>3.5099999899999998</v>
      </c>
      <c r="H141" s="2">
        <v>0</v>
      </c>
      <c r="I141" s="2">
        <v>0</v>
      </c>
      <c r="J141" s="2">
        <v>0</v>
      </c>
      <c r="K141" s="2">
        <v>3.5099999899999998</v>
      </c>
      <c r="L141" s="2">
        <v>0</v>
      </c>
      <c r="M141" s="2">
        <v>0</v>
      </c>
      <c r="N141" s="2">
        <v>0</v>
      </c>
      <c r="O141" s="2">
        <v>221</v>
      </c>
      <c r="P141" s="2">
        <v>1219</v>
      </c>
      <c r="Q141" s="2">
        <f t="shared" si="12"/>
        <v>221</v>
      </c>
      <c r="R141" s="2">
        <f t="shared" si="10"/>
        <v>1440</v>
      </c>
      <c r="S141" t="str">
        <f t="shared" si="14"/>
        <v>Lightly Active</v>
      </c>
      <c r="T141" s="2">
        <v>1824</v>
      </c>
    </row>
    <row r="142" spans="1:20" x14ac:dyDescent="0.25">
      <c r="A142" s="2">
        <v>1844505072</v>
      </c>
      <c r="B142" s="3">
        <v>42469</v>
      </c>
      <c r="C142" t="str">
        <f t="shared" si="11"/>
        <v>Saturday</v>
      </c>
      <c r="D142" t="str">
        <f t="shared" si="13"/>
        <v>Weekend</v>
      </c>
      <c r="E142" s="2">
        <v>4979</v>
      </c>
      <c r="F142" s="2">
        <v>3.289999962</v>
      </c>
      <c r="G142" s="2">
        <v>3.289999962</v>
      </c>
      <c r="H142" s="2">
        <v>0</v>
      </c>
      <c r="I142" s="2">
        <v>0</v>
      </c>
      <c r="J142" s="2">
        <v>0</v>
      </c>
      <c r="K142" s="2">
        <v>3.289999962</v>
      </c>
      <c r="L142" s="2">
        <v>0</v>
      </c>
      <c r="M142" s="2">
        <v>0</v>
      </c>
      <c r="N142" s="2">
        <v>0</v>
      </c>
      <c r="O142" s="2">
        <v>184</v>
      </c>
      <c r="P142" s="2">
        <v>620</v>
      </c>
      <c r="Q142" s="2">
        <f t="shared" si="12"/>
        <v>184</v>
      </c>
      <c r="R142" s="2">
        <f t="shared" si="10"/>
        <v>804</v>
      </c>
      <c r="S142" t="str">
        <f t="shared" si="14"/>
        <v>Sedentary</v>
      </c>
      <c r="T142" s="2">
        <v>1807</v>
      </c>
    </row>
    <row r="143" spans="1:20" x14ac:dyDescent="0.25">
      <c r="A143" s="2">
        <v>1844505072</v>
      </c>
      <c r="B143" s="3">
        <v>42470</v>
      </c>
      <c r="C143" t="str">
        <f t="shared" si="11"/>
        <v>Sunday</v>
      </c>
      <c r="D143" t="str">
        <f t="shared" si="13"/>
        <v>Weekend</v>
      </c>
      <c r="E143" s="2">
        <v>6556</v>
      </c>
      <c r="F143" s="2">
        <v>4.3400001530000001</v>
      </c>
      <c r="G143" s="2">
        <v>4.3400001530000001</v>
      </c>
      <c r="H143" s="2">
        <v>0</v>
      </c>
      <c r="I143" s="2">
        <v>0</v>
      </c>
      <c r="J143" s="2">
        <v>0</v>
      </c>
      <c r="K143" s="2">
        <v>4.329999924</v>
      </c>
      <c r="L143" s="2">
        <v>0</v>
      </c>
      <c r="M143" s="2">
        <v>0</v>
      </c>
      <c r="N143" s="2">
        <v>0</v>
      </c>
      <c r="O143" s="2">
        <v>305</v>
      </c>
      <c r="P143" s="2">
        <v>810</v>
      </c>
      <c r="Q143" s="2">
        <f t="shared" si="12"/>
        <v>305</v>
      </c>
      <c r="R143" s="2">
        <f t="shared" si="10"/>
        <v>1115</v>
      </c>
      <c r="S143" t="str">
        <f t="shared" si="14"/>
        <v>Lightly Active</v>
      </c>
      <c r="T143" s="2">
        <v>1971</v>
      </c>
    </row>
    <row r="144" spans="1:20" x14ac:dyDescent="0.25">
      <c r="A144" s="2">
        <v>1844505072</v>
      </c>
      <c r="B144" s="3">
        <v>42471</v>
      </c>
      <c r="C144" t="str">
        <f t="shared" si="11"/>
        <v>Monday</v>
      </c>
      <c r="D144" t="str">
        <f t="shared" si="13"/>
        <v>Weekday</v>
      </c>
      <c r="E144" s="2">
        <v>5430</v>
      </c>
      <c r="F144" s="2">
        <v>3.5899999139999998</v>
      </c>
      <c r="G144" s="2">
        <v>3.5899999139999998</v>
      </c>
      <c r="H144" s="2">
        <v>0</v>
      </c>
      <c r="I144" s="2">
        <v>0</v>
      </c>
      <c r="J144" s="2">
        <v>0</v>
      </c>
      <c r="K144" s="2">
        <v>3.5899999139999998</v>
      </c>
      <c r="L144" s="2">
        <v>0</v>
      </c>
      <c r="M144" s="2">
        <v>0</v>
      </c>
      <c r="N144" s="2">
        <v>0</v>
      </c>
      <c r="O144" s="2">
        <v>251</v>
      </c>
      <c r="P144" s="2">
        <v>1189</v>
      </c>
      <c r="Q144" s="2">
        <f t="shared" si="12"/>
        <v>251</v>
      </c>
      <c r="R144" s="2">
        <f t="shared" si="10"/>
        <v>1440</v>
      </c>
      <c r="S144" t="str">
        <f t="shared" si="14"/>
        <v>Lightly Active</v>
      </c>
      <c r="T144" s="2">
        <v>1888</v>
      </c>
    </row>
    <row r="145" spans="1:20" x14ac:dyDescent="0.25">
      <c r="A145" s="2">
        <v>1844505072</v>
      </c>
      <c r="B145" s="3">
        <v>42473</v>
      </c>
      <c r="C145" t="str">
        <f t="shared" si="11"/>
        <v>Wednesday</v>
      </c>
      <c r="D145" t="str">
        <f t="shared" si="13"/>
        <v>Weekday</v>
      </c>
      <c r="E145" s="2">
        <v>4929</v>
      </c>
      <c r="F145" s="2">
        <v>3.2599999899999998</v>
      </c>
      <c r="G145" s="2">
        <v>3.2599999899999998</v>
      </c>
      <c r="H145" s="2">
        <v>0</v>
      </c>
      <c r="I145" s="2">
        <v>0</v>
      </c>
      <c r="J145" s="2">
        <v>0</v>
      </c>
      <c r="K145" s="2">
        <v>3.2599999899999998</v>
      </c>
      <c r="L145" s="2">
        <v>0</v>
      </c>
      <c r="M145" s="2">
        <v>0</v>
      </c>
      <c r="N145" s="2">
        <v>0</v>
      </c>
      <c r="O145" s="2">
        <v>248</v>
      </c>
      <c r="P145" s="2">
        <v>1192</v>
      </c>
      <c r="Q145" s="2">
        <f t="shared" si="12"/>
        <v>248</v>
      </c>
      <c r="R145" s="2">
        <f t="shared" si="10"/>
        <v>1440</v>
      </c>
      <c r="S145" t="str">
        <f t="shared" si="14"/>
        <v>Sedentary</v>
      </c>
      <c r="T145" s="2">
        <v>1860</v>
      </c>
    </row>
    <row r="146" spans="1:20" x14ac:dyDescent="0.25">
      <c r="A146" s="2">
        <v>1844505072</v>
      </c>
      <c r="B146" s="3">
        <v>42474</v>
      </c>
      <c r="C146" t="str">
        <f t="shared" si="11"/>
        <v>Thursday</v>
      </c>
      <c r="D146" t="str">
        <f t="shared" si="13"/>
        <v>Weekday</v>
      </c>
      <c r="E146" s="2">
        <v>7937</v>
      </c>
      <c r="F146" s="2">
        <v>5.25</v>
      </c>
      <c r="G146" s="2">
        <v>5.25</v>
      </c>
      <c r="H146" s="2">
        <v>0</v>
      </c>
      <c r="I146" s="2">
        <v>0</v>
      </c>
      <c r="J146" s="2">
        <v>0</v>
      </c>
      <c r="K146" s="2">
        <v>5.2300000190000002</v>
      </c>
      <c r="L146" s="2">
        <v>0</v>
      </c>
      <c r="M146" s="2">
        <v>0</v>
      </c>
      <c r="N146" s="2">
        <v>0</v>
      </c>
      <c r="O146" s="2">
        <v>373</v>
      </c>
      <c r="P146" s="2">
        <v>843</v>
      </c>
      <c r="Q146" s="2">
        <f t="shared" si="12"/>
        <v>373</v>
      </c>
      <c r="R146" s="2">
        <f t="shared" si="10"/>
        <v>1216</v>
      </c>
      <c r="S146" t="str">
        <f t="shared" si="14"/>
        <v>Fairly Active</v>
      </c>
      <c r="T146" s="2">
        <v>2130</v>
      </c>
    </row>
    <row r="147" spans="1:20" x14ac:dyDescent="0.25">
      <c r="A147" s="2">
        <v>1844505072</v>
      </c>
      <c r="B147" s="3">
        <v>42475</v>
      </c>
      <c r="C147" t="str">
        <f t="shared" si="11"/>
        <v>Friday</v>
      </c>
      <c r="D147" t="str">
        <f t="shared" si="13"/>
        <v>Weekday</v>
      </c>
      <c r="E147" s="2">
        <v>3844</v>
      </c>
      <c r="F147" s="2">
        <v>2.539999962</v>
      </c>
      <c r="G147" s="2">
        <v>2.539999962</v>
      </c>
      <c r="H147" s="2">
        <v>0</v>
      </c>
      <c r="I147" s="2">
        <v>0</v>
      </c>
      <c r="J147" s="2">
        <v>0</v>
      </c>
      <c r="K147" s="2">
        <v>2.539999962</v>
      </c>
      <c r="L147" s="2">
        <v>0</v>
      </c>
      <c r="M147" s="2">
        <v>0</v>
      </c>
      <c r="N147" s="2">
        <v>0</v>
      </c>
      <c r="O147" s="2">
        <v>176</v>
      </c>
      <c r="P147" s="2">
        <v>527</v>
      </c>
      <c r="Q147" s="2">
        <f t="shared" si="12"/>
        <v>176</v>
      </c>
      <c r="R147" s="2">
        <f t="shared" si="10"/>
        <v>703</v>
      </c>
      <c r="S147" t="str">
        <f t="shared" si="14"/>
        <v>Sedentary</v>
      </c>
      <c r="T147" s="2">
        <v>1725</v>
      </c>
    </row>
    <row r="148" spans="1:20" x14ac:dyDescent="0.25">
      <c r="A148" s="2">
        <v>1844505072</v>
      </c>
      <c r="B148" s="3">
        <v>42476</v>
      </c>
      <c r="C148" t="str">
        <f t="shared" si="11"/>
        <v>Saturday</v>
      </c>
      <c r="D148" t="str">
        <f t="shared" si="13"/>
        <v>Weekend</v>
      </c>
      <c r="E148" s="2">
        <v>3414</v>
      </c>
      <c r="F148" s="2">
        <v>2.2599999899999998</v>
      </c>
      <c r="G148" s="2">
        <v>2.2599999899999998</v>
      </c>
      <c r="H148" s="2">
        <v>0</v>
      </c>
      <c r="I148" s="2">
        <v>0</v>
      </c>
      <c r="J148" s="2">
        <v>0</v>
      </c>
      <c r="K148" s="2">
        <v>2.2599999899999998</v>
      </c>
      <c r="L148" s="2">
        <v>0</v>
      </c>
      <c r="M148" s="2">
        <v>0</v>
      </c>
      <c r="N148" s="2">
        <v>0</v>
      </c>
      <c r="O148" s="2">
        <v>147</v>
      </c>
      <c r="P148" s="2">
        <v>1293</v>
      </c>
      <c r="Q148" s="2">
        <f t="shared" si="12"/>
        <v>147</v>
      </c>
      <c r="R148" s="2">
        <f t="shared" si="10"/>
        <v>1440</v>
      </c>
      <c r="S148" t="str">
        <f t="shared" si="14"/>
        <v>Sedentary</v>
      </c>
      <c r="T148" s="2">
        <v>1657</v>
      </c>
    </row>
    <row r="149" spans="1:20" x14ac:dyDescent="0.25">
      <c r="A149" s="2">
        <v>1844505072</v>
      </c>
      <c r="B149" s="3">
        <v>42477</v>
      </c>
      <c r="C149" t="str">
        <f t="shared" si="11"/>
        <v>Sunday</v>
      </c>
      <c r="D149" t="str">
        <f t="shared" si="13"/>
        <v>Weekend</v>
      </c>
      <c r="E149" s="2">
        <v>4525</v>
      </c>
      <c r="F149" s="2">
        <v>2.9900000100000002</v>
      </c>
      <c r="G149" s="2">
        <v>2.9900000100000002</v>
      </c>
      <c r="H149" s="2">
        <v>0</v>
      </c>
      <c r="I149" s="2">
        <v>0.14000000100000001</v>
      </c>
      <c r="J149" s="2">
        <v>0.25999999000000001</v>
      </c>
      <c r="K149" s="2">
        <v>2.5899999139999998</v>
      </c>
      <c r="L149" s="2">
        <v>0</v>
      </c>
      <c r="M149" s="2">
        <v>2</v>
      </c>
      <c r="N149" s="2">
        <v>8</v>
      </c>
      <c r="O149" s="2">
        <v>199</v>
      </c>
      <c r="P149" s="2">
        <v>1231</v>
      </c>
      <c r="Q149" s="2">
        <f t="shared" si="12"/>
        <v>209</v>
      </c>
      <c r="R149" s="2">
        <f t="shared" si="10"/>
        <v>1440</v>
      </c>
      <c r="S149" t="str">
        <f t="shared" si="14"/>
        <v>Sedentary</v>
      </c>
      <c r="T149" s="2">
        <v>1793</v>
      </c>
    </row>
    <row r="150" spans="1:20" x14ac:dyDescent="0.25">
      <c r="A150" s="2">
        <v>1844505072</v>
      </c>
      <c r="B150" s="3">
        <v>42478</v>
      </c>
      <c r="C150" t="str">
        <f t="shared" si="11"/>
        <v>Monday</v>
      </c>
      <c r="D150" t="str">
        <f t="shared" si="13"/>
        <v>Weekday</v>
      </c>
      <c r="E150" s="2">
        <v>4597</v>
      </c>
      <c r="F150" s="2">
        <v>3.039999962</v>
      </c>
      <c r="G150" s="2">
        <v>3.039999962</v>
      </c>
      <c r="H150" s="2">
        <v>0</v>
      </c>
      <c r="I150" s="2">
        <v>0</v>
      </c>
      <c r="J150" s="2">
        <v>0.47999998900000002</v>
      </c>
      <c r="K150" s="2">
        <v>2.5599999430000002</v>
      </c>
      <c r="L150" s="2">
        <v>0</v>
      </c>
      <c r="M150" s="2">
        <v>0</v>
      </c>
      <c r="N150" s="2">
        <v>12</v>
      </c>
      <c r="O150" s="2">
        <v>217</v>
      </c>
      <c r="P150" s="2">
        <v>1211</v>
      </c>
      <c r="Q150" s="2">
        <f t="shared" si="12"/>
        <v>229</v>
      </c>
      <c r="R150" s="2">
        <f t="shared" si="10"/>
        <v>1440</v>
      </c>
      <c r="S150" t="str">
        <f t="shared" si="14"/>
        <v>Sedentary</v>
      </c>
      <c r="T150" s="2">
        <v>1814</v>
      </c>
    </row>
    <row r="151" spans="1:20" x14ac:dyDescent="0.25">
      <c r="A151" s="2">
        <v>1844505072</v>
      </c>
      <c r="B151" s="3">
        <v>42481</v>
      </c>
      <c r="C151" t="str">
        <f t="shared" si="11"/>
        <v>Thursday</v>
      </c>
      <c r="D151" t="str">
        <f t="shared" si="13"/>
        <v>Weekday</v>
      </c>
      <c r="E151" s="2">
        <v>8054</v>
      </c>
      <c r="F151" s="2">
        <v>5.3200001720000003</v>
      </c>
      <c r="G151" s="2">
        <v>5.3200001720000003</v>
      </c>
      <c r="H151" s="2">
        <v>0</v>
      </c>
      <c r="I151" s="2">
        <v>0.119999997</v>
      </c>
      <c r="J151" s="2">
        <v>0.519999981</v>
      </c>
      <c r="K151" s="2">
        <v>4.6799998279999997</v>
      </c>
      <c r="L151" s="2">
        <v>0</v>
      </c>
      <c r="M151" s="2">
        <v>2</v>
      </c>
      <c r="N151" s="2">
        <v>13</v>
      </c>
      <c r="O151" s="2">
        <v>308</v>
      </c>
      <c r="P151" s="2">
        <v>1117</v>
      </c>
      <c r="Q151" s="2">
        <f t="shared" si="12"/>
        <v>323</v>
      </c>
      <c r="R151" s="2">
        <f t="shared" si="10"/>
        <v>1440</v>
      </c>
      <c r="S151" t="str">
        <f t="shared" si="14"/>
        <v>Fairly Active</v>
      </c>
      <c r="T151" s="2">
        <v>2062</v>
      </c>
    </row>
    <row r="152" spans="1:20" x14ac:dyDescent="0.25">
      <c r="A152" s="2">
        <v>1844505072</v>
      </c>
      <c r="B152" s="3">
        <v>42482</v>
      </c>
      <c r="C152" t="str">
        <f t="shared" si="11"/>
        <v>Friday</v>
      </c>
      <c r="D152" t="str">
        <f t="shared" si="13"/>
        <v>Weekday</v>
      </c>
      <c r="E152" s="2">
        <v>5372</v>
      </c>
      <c r="F152" s="2">
        <v>3.5499999519999998</v>
      </c>
      <c r="G152" s="2">
        <v>3.5499999519999998</v>
      </c>
      <c r="H152" s="2">
        <v>0</v>
      </c>
      <c r="I152" s="2">
        <v>0</v>
      </c>
      <c r="J152" s="2">
        <v>0</v>
      </c>
      <c r="K152" s="2">
        <v>3.5499999519999998</v>
      </c>
      <c r="L152" s="2">
        <v>0</v>
      </c>
      <c r="M152" s="2">
        <v>0</v>
      </c>
      <c r="N152" s="2">
        <v>0</v>
      </c>
      <c r="O152" s="2">
        <v>220</v>
      </c>
      <c r="P152" s="2">
        <v>1220</v>
      </c>
      <c r="Q152" s="2">
        <f t="shared" si="12"/>
        <v>220</v>
      </c>
      <c r="R152" s="2">
        <f t="shared" si="10"/>
        <v>1440</v>
      </c>
      <c r="S152" t="str">
        <f t="shared" si="14"/>
        <v>Lightly Active</v>
      </c>
      <c r="T152" s="2">
        <v>1827</v>
      </c>
    </row>
    <row r="153" spans="1:20" x14ac:dyDescent="0.25">
      <c r="A153" s="2">
        <v>1844505072</v>
      </c>
      <c r="B153" s="3">
        <v>42483</v>
      </c>
      <c r="C153" t="str">
        <f t="shared" si="11"/>
        <v>Saturday</v>
      </c>
      <c r="D153" t="str">
        <f t="shared" si="13"/>
        <v>Weekend</v>
      </c>
      <c r="E153" s="2">
        <v>3570</v>
      </c>
      <c r="F153" s="2">
        <v>2.3599998950000001</v>
      </c>
      <c r="G153" s="2">
        <v>2.3599998950000001</v>
      </c>
      <c r="H153" s="2">
        <v>0</v>
      </c>
      <c r="I153" s="2">
        <v>0</v>
      </c>
      <c r="J153" s="2">
        <v>0</v>
      </c>
      <c r="K153" s="2">
        <v>2.3599998950000001</v>
      </c>
      <c r="L153" s="2">
        <v>0</v>
      </c>
      <c r="M153" s="2">
        <v>0</v>
      </c>
      <c r="N153" s="2">
        <v>0</v>
      </c>
      <c r="O153" s="2">
        <v>139</v>
      </c>
      <c r="P153" s="2">
        <v>1301</v>
      </c>
      <c r="Q153" s="2">
        <f t="shared" si="12"/>
        <v>139</v>
      </c>
      <c r="R153" s="2">
        <f t="shared" si="10"/>
        <v>1440</v>
      </c>
      <c r="S153" t="str">
        <f t="shared" si="14"/>
        <v>Sedentary</v>
      </c>
      <c r="T153" s="2">
        <v>1645</v>
      </c>
    </row>
    <row r="154" spans="1:20" x14ac:dyDescent="0.25">
      <c r="A154" s="2">
        <v>1844505072</v>
      </c>
      <c r="B154" s="3">
        <v>42488</v>
      </c>
      <c r="C154" t="str">
        <f t="shared" si="11"/>
        <v>Thursday</v>
      </c>
      <c r="D154" t="str">
        <f t="shared" si="13"/>
        <v>Weekday</v>
      </c>
      <c r="E154" s="2">
        <v>6907</v>
      </c>
      <c r="F154" s="2">
        <v>4.5700001720000003</v>
      </c>
      <c r="G154" s="2">
        <v>4.5700001720000003</v>
      </c>
      <c r="H154" s="2">
        <v>0</v>
      </c>
      <c r="I154" s="2">
        <v>0</v>
      </c>
      <c r="J154" s="2">
        <v>0</v>
      </c>
      <c r="K154" s="2">
        <v>4.5599999430000002</v>
      </c>
      <c r="L154" s="2">
        <v>0</v>
      </c>
      <c r="M154" s="2">
        <v>0</v>
      </c>
      <c r="N154" s="2">
        <v>0</v>
      </c>
      <c r="O154" s="2">
        <v>302</v>
      </c>
      <c r="P154" s="2">
        <v>1138</v>
      </c>
      <c r="Q154" s="2">
        <f t="shared" si="12"/>
        <v>302</v>
      </c>
      <c r="R154" s="2">
        <f t="shared" si="10"/>
        <v>1440</v>
      </c>
      <c r="S154" t="str">
        <f t="shared" si="14"/>
        <v>Lightly Active</v>
      </c>
      <c r="T154" s="2">
        <v>1992</v>
      </c>
    </row>
    <row r="155" spans="1:20" x14ac:dyDescent="0.25">
      <c r="A155" s="2">
        <v>1844505072</v>
      </c>
      <c r="B155" s="3">
        <v>42489</v>
      </c>
      <c r="C155" t="str">
        <f t="shared" si="11"/>
        <v>Friday</v>
      </c>
      <c r="D155" t="str">
        <f t="shared" si="13"/>
        <v>Weekday</v>
      </c>
      <c r="E155" s="2">
        <v>4920</v>
      </c>
      <c r="F155" s="2">
        <v>3.25</v>
      </c>
      <c r="G155" s="2">
        <v>3.25</v>
      </c>
      <c r="H155" s="2">
        <v>0</v>
      </c>
      <c r="I155" s="2">
        <v>0</v>
      </c>
      <c r="J155" s="2">
        <v>0</v>
      </c>
      <c r="K155" s="2">
        <v>3.25</v>
      </c>
      <c r="L155" s="2">
        <v>0</v>
      </c>
      <c r="M155" s="2">
        <v>0</v>
      </c>
      <c r="N155" s="2">
        <v>0</v>
      </c>
      <c r="O155" s="2">
        <v>247</v>
      </c>
      <c r="P155" s="2">
        <v>1082</v>
      </c>
      <c r="Q155" s="2">
        <f t="shared" si="12"/>
        <v>247</v>
      </c>
      <c r="R155" s="2">
        <f t="shared" si="10"/>
        <v>1329</v>
      </c>
      <c r="S155" t="str">
        <f t="shared" si="14"/>
        <v>Sedentary</v>
      </c>
      <c r="T155" s="2">
        <v>1856</v>
      </c>
    </row>
    <row r="156" spans="1:20" x14ac:dyDescent="0.25">
      <c r="A156" s="2">
        <v>1844505072</v>
      </c>
      <c r="B156" s="3">
        <v>42491</v>
      </c>
      <c r="C156" t="str">
        <f t="shared" si="11"/>
        <v>Sunday</v>
      </c>
      <c r="D156" t="str">
        <f t="shared" si="13"/>
        <v>Weekend</v>
      </c>
      <c r="E156" s="2">
        <v>2573</v>
      </c>
      <c r="F156" s="2">
        <v>1.7000000479999999</v>
      </c>
      <c r="G156" s="2">
        <v>1.7000000479999999</v>
      </c>
      <c r="H156" s="2">
        <v>0</v>
      </c>
      <c r="I156" s="2">
        <v>0</v>
      </c>
      <c r="J156" s="2">
        <v>0.25999999000000001</v>
      </c>
      <c r="K156" s="2">
        <v>1.4500000479999999</v>
      </c>
      <c r="L156" s="2">
        <v>0</v>
      </c>
      <c r="M156" s="2">
        <v>0</v>
      </c>
      <c r="N156" s="2">
        <v>7</v>
      </c>
      <c r="O156" s="2">
        <v>75</v>
      </c>
      <c r="P156" s="2">
        <v>585</v>
      </c>
      <c r="Q156" s="2">
        <f t="shared" si="12"/>
        <v>82</v>
      </c>
      <c r="R156" s="2">
        <f t="shared" si="10"/>
        <v>667</v>
      </c>
      <c r="S156" t="str">
        <f t="shared" si="14"/>
        <v>Sedentary</v>
      </c>
      <c r="T156" s="2">
        <v>1541</v>
      </c>
    </row>
    <row r="157" spans="1:20" x14ac:dyDescent="0.25">
      <c r="A157" s="2">
        <v>1844505072</v>
      </c>
      <c r="B157" s="3">
        <v>42493</v>
      </c>
      <c r="C157" t="str">
        <f t="shared" si="11"/>
        <v>Tuesday</v>
      </c>
      <c r="D157" t="str">
        <f t="shared" si="13"/>
        <v>Weekday</v>
      </c>
      <c r="E157" s="2">
        <v>4059</v>
      </c>
      <c r="F157" s="2">
        <v>2.6800000669999999</v>
      </c>
      <c r="G157" s="2">
        <v>2.6800000669999999</v>
      </c>
      <c r="H157" s="2">
        <v>0</v>
      </c>
      <c r="I157" s="2">
        <v>0</v>
      </c>
      <c r="J157" s="2">
        <v>0</v>
      </c>
      <c r="K157" s="2">
        <v>2.6800000669999999</v>
      </c>
      <c r="L157" s="2">
        <v>0</v>
      </c>
      <c r="M157" s="2">
        <v>0</v>
      </c>
      <c r="N157" s="2">
        <v>0</v>
      </c>
      <c r="O157" s="2">
        <v>184</v>
      </c>
      <c r="P157" s="2">
        <v>1256</v>
      </c>
      <c r="Q157" s="2">
        <f t="shared" si="12"/>
        <v>184</v>
      </c>
      <c r="R157" s="2">
        <f t="shared" si="10"/>
        <v>1440</v>
      </c>
      <c r="S157" t="str">
        <f t="shared" si="14"/>
        <v>Sedentary</v>
      </c>
      <c r="T157" s="2">
        <v>1742</v>
      </c>
    </row>
    <row r="158" spans="1:20" x14ac:dyDescent="0.25">
      <c r="A158" s="2">
        <v>1844505072</v>
      </c>
      <c r="B158" s="3">
        <v>42494</v>
      </c>
      <c r="C158" t="str">
        <f t="shared" si="11"/>
        <v>Wednesday</v>
      </c>
      <c r="D158" t="str">
        <f t="shared" si="13"/>
        <v>Weekday</v>
      </c>
      <c r="E158" s="2">
        <v>2080</v>
      </c>
      <c r="F158" s="2">
        <v>1.3700000050000001</v>
      </c>
      <c r="G158" s="2">
        <v>1.3700000050000001</v>
      </c>
      <c r="H158" s="2">
        <v>0</v>
      </c>
      <c r="I158" s="2">
        <v>0</v>
      </c>
      <c r="J158" s="2">
        <v>0</v>
      </c>
      <c r="K158" s="2">
        <v>1.3700000050000001</v>
      </c>
      <c r="L158" s="2">
        <v>0</v>
      </c>
      <c r="M158" s="2">
        <v>0</v>
      </c>
      <c r="N158" s="2">
        <v>0</v>
      </c>
      <c r="O158" s="2">
        <v>87</v>
      </c>
      <c r="P158" s="2">
        <v>1353</v>
      </c>
      <c r="Q158" s="2">
        <f t="shared" si="12"/>
        <v>87</v>
      </c>
      <c r="R158" s="2">
        <f t="shared" si="10"/>
        <v>1440</v>
      </c>
      <c r="S158" t="str">
        <f t="shared" si="14"/>
        <v>Sedentary</v>
      </c>
      <c r="T158" s="2">
        <v>1549</v>
      </c>
    </row>
    <row r="159" spans="1:20" x14ac:dyDescent="0.25">
      <c r="A159" s="2">
        <v>1844505072</v>
      </c>
      <c r="B159" s="3">
        <v>42495</v>
      </c>
      <c r="C159" t="str">
        <f t="shared" si="11"/>
        <v>Thursday</v>
      </c>
      <c r="D159" t="str">
        <f t="shared" si="13"/>
        <v>Weekday</v>
      </c>
      <c r="E159" s="2">
        <v>2237</v>
      </c>
      <c r="F159" s="2">
        <v>1.480000019</v>
      </c>
      <c r="G159" s="2">
        <v>1.480000019</v>
      </c>
      <c r="H159" s="2">
        <v>0</v>
      </c>
      <c r="I159" s="2">
        <v>0</v>
      </c>
      <c r="J159" s="2">
        <v>0</v>
      </c>
      <c r="K159" s="2">
        <v>1.480000019</v>
      </c>
      <c r="L159" s="2">
        <v>0</v>
      </c>
      <c r="M159" s="2">
        <v>0</v>
      </c>
      <c r="N159" s="2">
        <v>0</v>
      </c>
      <c r="O159" s="2">
        <v>120</v>
      </c>
      <c r="P159" s="2">
        <v>1320</v>
      </c>
      <c r="Q159" s="2">
        <f t="shared" si="12"/>
        <v>120</v>
      </c>
      <c r="R159" s="2">
        <f t="shared" si="10"/>
        <v>1440</v>
      </c>
      <c r="S159" t="str">
        <f t="shared" si="14"/>
        <v>Sedentary</v>
      </c>
      <c r="T159" s="2">
        <v>1589</v>
      </c>
    </row>
    <row r="160" spans="1:20" x14ac:dyDescent="0.25">
      <c r="A160" s="2">
        <v>1927972279</v>
      </c>
      <c r="B160" s="3">
        <v>42461</v>
      </c>
      <c r="C160" t="str">
        <f t="shared" si="11"/>
        <v>Friday</v>
      </c>
      <c r="D160" t="str">
        <f t="shared" si="13"/>
        <v>Weekday</v>
      </c>
      <c r="E160" s="2">
        <v>4317</v>
      </c>
      <c r="F160" s="2">
        <v>2.9900000100000002</v>
      </c>
      <c r="G160" s="2">
        <v>2.9900000100000002</v>
      </c>
      <c r="H160" s="2">
        <v>0</v>
      </c>
      <c r="I160" s="2">
        <v>0</v>
      </c>
      <c r="J160" s="2">
        <v>0.37000000500000002</v>
      </c>
      <c r="K160" s="2">
        <v>2.619999886</v>
      </c>
      <c r="L160" s="2">
        <v>0</v>
      </c>
      <c r="M160" s="2">
        <v>0</v>
      </c>
      <c r="N160" s="2">
        <v>11</v>
      </c>
      <c r="O160" s="2">
        <v>192</v>
      </c>
      <c r="P160" s="2">
        <v>854</v>
      </c>
      <c r="Q160" s="2">
        <f t="shared" si="12"/>
        <v>203</v>
      </c>
      <c r="R160" s="2">
        <f t="shared" si="10"/>
        <v>1057</v>
      </c>
      <c r="S160" t="str">
        <f t="shared" si="14"/>
        <v>Sedentary</v>
      </c>
      <c r="T160" s="2">
        <v>2590</v>
      </c>
    </row>
    <row r="161" spans="1:20" x14ac:dyDescent="0.25">
      <c r="A161" s="2">
        <v>1927972279</v>
      </c>
      <c r="B161" s="3">
        <v>42462</v>
      </c>
      <c r="C161" t="str">
        <f t="shared" si="11"/>
        <v>Saturday</v>
      </c>
      <c r="D161" t="str">
        <f t="shared" si="13"/>
        <v>Weekend</v>
      </c>
      <c r="E161" s="2">
        <v>5662</v>
      </c>
      <c r="F161" s="2">
        <v>3.920000076</v>
      </c>
      <c r="G161" s="2">
        <v>3.920000076</v>
      </c>
      <c r="H161" s="2">
        <v>0</v>
      </c>
      <c r="I161" s="2">
        <v>0</v>
      </c>
      <c r="J161" s="2">
        <v>0</v>
      </c>
      <c r="K161" s="2">
        <v>3.920000076</v>
      </c>
      <c r="L161" s="2">
        <v>0</v>
      </c>
      <c r="M161" s="2">
        <v>0</v>
      </c>
      <c r="N161" s="2">
        <v>0</v>
      </c>
      <c r="O161" s="2">
        <v>267</v>
      </c>
      <c r="P161" s="2">
        <v>858</v>
      </c>
      <c r="Q161" s="2">
        <f t="shared" si="12"/>
        <v>267</v>
      </c>
      <c r="R161" s="2">
        <f t="shared" si="10"/>
        <v>1125</v>
      </c>
      <c r="S161" t="str">
        <f t="shared" si="14"/>
        <v>Lightly Active</v>
      </c>
      <c r="T161" s="2">
        <v>2783</v>
      </c>
    </row>
    <row r="162" spans="1:20" x14ac:dyDescent="0.25">
      <c r="A162" s="2">
        <v>1927972279</v>
      </c>
      <c r="B162" s="3">
        <v>42463</v>
      </c>
      <c r="C162" t="str">
        <f t="shared" si="11"/>
        <v>Sunday</v>
      </c>
      <c r="D162" t="str">
        <f t="shared" si="13"/>
        <v>Weekend</v>
      </c>
      <c r="E162" s="2">
        <v>3198</v>
      </c>
      <c r="F162" s="2">
        <v>2.210000038</v>
      </c>
      <c r="G162" s="2">
        <v>2.210000038</v>
      </c>
      <c r="H162" s="2">
        <v>0</v>
      </c>
      <c r="I162" s="2">
        <v>0</v>
      </c>
      <c r="J162" s="2">
        <v>0</v>
      </c>
      <c r="K162" s="2">
        <v>2.210000038</v>
      </c>
      <c r="L162" s="2">
        <v>0</v>
      </c>
      <c r="M162" s="2">
        <v>0</v>
      </c>
      <c r="N162" s="2">
        <v>0</v>
      </c>
      <c r="O162" s="2">
        <v>146</v>
      </c>
      <c r="P162" s="2">
        <v>1183</v>
      </c>
      <c r="Q162" s="2">
        <f t="shared" si="12"/>
        <v>146</v>
      </c>
      <c r="R162" s="2">
        <f t="shared" si="10"/>
        <v>1329</v>
      </c>
      <c r="S162" t="str">
        <f t="shared" si="14"/>
        <v>Sedentary</v>
      </c>
      <c r="T162" s="2">
        <v>2449</v>
      </c>
    </row>
    <row r="163" spans="1:20" x14ac:dyDescent="0.25">
      <c r="A163" s="2">
        <v>1927972279</v>
      </c>
      <c r="B163" s="3">
        <v>42464</v>
      </c>
      <c r="C163" t="str">
        <f t="shared" si="11"/>
        <v>Monday</v>
      </c>
      <c r="D163" t="str">
        <f t="shared" si="13"/>
        <v>Weekday</v>
      </c>
      <c r="E163" s="2">
        <v>2352</v>
      </c>
      <c r="F163" s="2">
        <v>1.6299999949999999</v>
      </c>
      <c r="G163" s="2">
        <v>1.6299999949999999</v>
      </c>
      <c r="H163" s="2">
        <v>0</v>
      </c>
      <c r="I163" s="2">
        <v>0</v>
      </c>
      <c r="J163" s="2">
        <v>0</v>
      </c>
      <c r="K163" s="2">
        <v>1.6299999949999999</v>
      </c>
      <c r="L163" s="2">
        <v>0</v>
      </c>
      <c r="M163" s="2">
        <v>0</v>
      </c>
      <c r="N163" s="2">
        <v>0</v>
      </c>
      <c r="O163" s="2">
        <v>128</v>
      </c>
      <c r="P163" s="2">
        <v>829</v>
      </c>
      <c r="Q163" s="2">
        <f t="shared" si="12"/>
        <v>128</v>
      </c>
      <c r="R163" s="2">
        <f t="shared" si="10"/>
        <v>957</v>
      </c>
      <c r="S163" t="str">
        <f t="shared" si="14"/>
        <v>Sedentary</v>
      </c>
      <c r="T163" s="2">
        <v>2380</v>
      </c>
    </row>
    <row r="164" spans="1:20" x14ac:dyDescent="0.25">
      <c r="A164" s="2">
        <v>1927972279</v>
      </c>
      <c r="B164" s="3">
        <v>42465</v>
      </c>
      <c r="C164" t="str">
        <f t="shared" si="11"/>
        <v>Tuesday</v>
      </c>
      <c r="D164" t="str">
        <f t="shared" si="13"/>
        <v>Weekday</v>
      </c>
      <c r="E164" s="2">
        <v>2234</v>
      </c>
      <c r="F164" s="2">
        <v>1.5499999520000001</v>
      </c>
      <c r="G164" s="2">
        <v>1.5499999520000001</v>
      </c>
      <c r="H164" s="2">
        <v>0</v>
      </c>
      <c r="I164" s="2">
        <v>0</v>
      </c>
      <c r="J164" s="2">
        <v>0</v>
      </c>
      <c r="K164" s="2">
        <v>1.5499999520000001</v>
      </c>
      <c r="L164" s="2">
        <v>0</v>
      </c>
      <c r="M164" s="2">
        <v>0</v>
      </c>
      <c r="N164" s="2">
        <v>0</v>
      </c>
      <c r="O164" s="2">
        <v>108</v>
      </c>
      <c r="P164" s="2">
        <v>912</v>
      </c>
      <c r="Q164" s="2">
        <f t="shared" si="12"/>
        <v>108</v>
      </c>
      <c r="R164" s="2">
        <f t="shared" si="10"/>
        <v>1020</v>
      </c>
      <c r="S164" t="str">
        <f t="shared" si="14"/>
        <v>Sedentary</v>
      </c>
      <c r="T164" s="2">
        <v>2344</v>
      </c>
    </row>
    <row r="165" spans="1:20" x14ac:dyDescent="0.25">
      <c r="A165" s="2">
        <v>1927972279</v>
      </c>
      <c r="B165" s="3">
        <v>42466</v>
      </c>
      <c r="C165" t="str">
        <f t="shared" si="11"/>
        <v>Wednesday</v>
      </c>
      <c r="D165" t="str">
        <f t="shared" si="13"/>
        <v>Weekday</v>
      </c>
      <c r="E165" s="2">
        <v>1259</v>
      </c>
      <c r="F165" s="2">
        <v>0.87000000499999997</v>
      </c>
      <c r="G165" s="2">
        <v>0.87000000499999997</v>
      </c>
      <c r="H165" s="2">
        <v>0</v>
      </c>
      <c r="I165" s="2">
        <v>0</v>
      </c>
      <c r="J165" s="2">
        <v>0</v>
      </c>
      <c r="K165" s="2">
        <v>0.87000000499999997</v>
      </c>
      <c r="L165" s="2">
        <v>0</v>
      </c>
      <c r="M165" s="2">
        <v>0</v>
      </c>
      <c r="N165" s="2">
        <v>0</v>
      </c>
      <c r="O165" s="2">
        <v>73</v>
      </c>
      <c r="P165" s="2">
        <v>938</v>
      </c>
      <c r="Q165" s="2">
        <f t="shared" si="12"/>
        <v>73</v>
      </c>
      <c r="R165" s="2">
        <f t="shared" si="10"/>
        <v>1011</v>
      </c>
      <c r="S165" t="str">
        <f t="shared" si="14"/>
        <v>Sedentary</v>
      </c>
      <c r="T165" s="2">
        <v>2202</v>
      </c>
    </row>
    <row r="166" spans="1:20" x14ac:dyDescent="0.25">
      <c r="A166" s="2">
        <v>1927972279</v>
      </c>
      <c r="B166" s="3">
        <v>42467</v>
      </c>
      <c r="C166" t="str">
        <f t="shared" si="11"/>
        <v>Thursday</v>
      </c>
      <c r="D166" t="str">
        <f t="shared" si="13"/>
        <v>Weekday</v>
      </c>
      <c r="E166" s="2">
        <v>768</v>
      </c>
      <c r="F166" s="2">
        <v>0.52999997099999996</v>
      </c>
      <c r="G166" s="2">
        <v>0.52999997099999996</v>
      </c>
      <c r="H166" s="2">
        <v>0</v>
      </c>
      <c r="I166" s="2">
        <v>0</v>
      </c>
      <c r="J166" s="2">
        <v>0</v>
      </c>
      <c r="K166" s="2">
        <v>0.52999997099999996</v>
      </c>
      <c r="L166" s="2">
        <v>0</v>
      </c>
      <c r="M166" s="2">
        <v>0</v>
      </c>
      <c r="N166" s="2">
        <v>0</v>
      </c>
      <c r="O166" s="2">
        <v>43</v>
      </c>
      <c r="P166" s="2">
        <v>1397</v>
      </c>
      <c r="Q166" s="2">
        <f t="shared" si="12"/>
        <v>43</v>
      </c>
      <c r="R166" s="2">
        <f t="shared" si="10"/>
        <v>1440</v>
      </c>
      <c r="S166" t="str">
        <f t="shared" si="14"/>
        <v>Sedentary</v>
      </c>
      <c r="T166" s="2">
        <v>2130</v>
      </c>
    </row>
    <row r="167" spans="1:20" x14ac:dyDescent="0.25">
      <c r="A167" s="2">
        <v>1927972279</v>
      </c>
      <c r="B167" s="3">
        <v>42468</v>
      </c>
      <c r="C167" t="str">
        <f t="shared" si="11"/>
        <v>Friday</v>
      </c>
      <c r="D167" t="str">
        <f t="shared" si="13"/>
        <v>Weekday</v>
      </c>
      <c r="E167" s="2">
        <v>519</v>
      </c>
      <c r="F167" s="2">
        <v>0.36000001399999998</v>
      </c>
      <c r="G167" s="2">
        <v>0.36000001399999998</v>
      </c>
      <c r="H167" s="2">
        <v>0</v>
      </c>
      <c r="I167" s="2">
        <v>0</v>
      </c>
      <c r="J167" s="2">
        <v>0</v>
      </c>
      <c r="K167" s="2">
        <v>0.36000001399999998</v>
      </c>
      <c r="L167" s="2">
        <v>0</v>
      </c>
      <c r="M167" s="2">
        <v>0</v>
      </c>
      <c r="N167" s="2">
        <v>0</v>
      </c>
      <c r="O167" s="2">
        <v>34</v>
      </c>
      <c r="P167" s="2">
        <v>1406</v>
      </c>
      <c r="Q167" s="2">
        <f t="shared" si="12"/>
        <v>34</v>
      </c>
      <c r="R167" s="2">
        <f t="shared" si="10"/>
        <v>1440</v>
      </c>
      <c r="S167" t="str">
        <f t="shared" si="14"/>
        <v>Sedentary</v>
      </c>
      <c r="T167" s="2">
        <v>2088</v>
      </c>
    </row>
    <row r="168" spans="1:20" x14ac:dyDescent="0.25">
      <c r="A168" s="2">
        <v>1927972279</v>
      </c>
      <c r="B168" s="3">
        <v>42469</v>
      </c>
      <c r="C168" t="str">
        <f t="shared" si="11"/>
        <v>Saturday</v>
      </c>
      <c r="D168" t="str">
        <f t="shared" si="13"/>
        <v>Weekend</v>
      </c>
      <c r="E168" s="2">
        <v>2523</v>
      </c>
      <c r="F168" s="2">
        <v>1.75</v>
      </c>
      <c r="G168" s="2">
        <v>1.75</v>
      </c>
      <c r="H168" s="2">
        <v>0</v>
      </c>
      <c r="I168" s="2">
        <v>0</v>
      </c>
      <c r="J168" s="2">
        <v>0.37000000500000002</v>
      </c>
      <c r="K168" s="2">
        <v>1.3799999949999999</v>
      </c>
      <c r="L168" s="2">
        <v>0</v>
      </c>
      <c r="M168" s="2">
        <v>0</v>
      </c>
      <c r="N168" s="2">
        <v>9</v>
      </c>
      <c r="O168" s="2">
        <v>134</v>
      </c>
      <c r="P168" s="2">
        <v>1250</v>
      </c>
      <c r="Q168" s="2">
        <f t="shared" si="12"/>
        <v>143</v>
      </c>
      <c r="R168" s="2">
        <f t="shared" si="10"/>
        <v>1393</v>
      </c>
      <c r="S168" t="str">
        <f t="shared" si="14"/>
        <v>Sedentary</v>
      </c>
      <c r="T168" s="2">
        <v>2443</v>
      </c>
    </row>
    <row r="169" spans="1:20" x14ac:dyDescent="0.25">
      <c r="A169" s="2">
        <v>1927972279</v>
      </c>
      <c r="B169" s="3">
        <v>42470</v>
      </c>
      <c r="C169" t="str">
        <f t="shared" si="11"/>
        <v>Sunday</v>
      </c>
      <c r="D169" t="str">
        <f t="shared" si="13"/>
        <v>Weekend</v>
      </c>
      <c r="E169" s="2">
        <v>2105</v>
      </c>
      <c r="F169" s="2">
        <v>1.460000038</v>
      </c>
      <c r="G169" s="2">
        <v>1.460000038</v>
      </c>
      <c r="H169" s="2">
        <v>0</v>
      </c>
      <c r="I169" s="2">
        <v>0</v>
      </c>
      <c r="J169" s="2">
        <v>0</v>
      </c>
      <c r="K169" s="2">
        <v>1.460000038</v>
      </c>
      <c r="L169" s="2">
        <v>0</v>
      </c>
      <c r="M169" s="2">
        <v>0</v>
      </c>
      <c r="N169" s="2">
        <v>0</v>
      </c>
      <c r="O169" s="2">
        <v>139</v>
      </c>
      <c r="P169" s="2">
        <v>805</v>
      </c>
      <c r="Q169" s="2">
        <f t="shared" si="12"/>
        <v>139</v>
      </c>
      <c r="R169" s="2">
        <f t="shared" si="10"/>
        <v>944</v>
      </c>
      <c r="S169" t="str">
        <f t="shared" si="14"/>
        <v>Sedentary</v>
      </c>
      <c r="T169" s="2">
        <v>2442</v>
      </c>
    </row>
    <row r="170" spans="1:20" x14ac:dyDescent="0.25">
      <c r="A170" s="2">
        <v>1927972279</v>
      </c>
      <c r="B170" s="3">
        <v>42471</v>
      </c>
      <c r="C170" t="str">
        <f t="shared" si="11"/>
        <v>Monday</v>
      </c>
      <c r="D170" t="str">
        <f t="shared" si="13"/>
        <v>Weekday</v>
      </c>
      <c r="E170" s="2">
        <v>1209</v>
      </c>
      <c r="F170" s="2">
        <v>0.83999997400000004</v>
      </c>
      <c r="G170" s="2">
        <v>0.83999997400000004</v>
      </c>
      <c r="H170" s="2">
        <v>0</v>
      </c>
      <c r="I170" s="2">
        <v>0</v>
      </c>
      <c r="J170" s="2">
        <v>0</v>
      </c>
      <c r="K170" s="2">
        <v>0.83999997400000004</v>
      </c>
      <c r="L170" s="2">
        <v>0</v>
      </c>
      <c r="M170" s="2">
        <v>0</v>
      </c>
      <c r="N170" s="2">
        <v>0</v>
      </c>
      <c r="O170" s="2">
        <v>73</v>
      </c>
      <c r="P170" s="2">
        <v>842</v>
      </c>
      <c r="Q170" s="2">
        <f t="shared" si="12"/>
        <v>73</v>
      </c>
      <c r="R170" s="2">
        <f t="shared" si="10"/>
        <v>915</v>
      </c>
      <c r="S170" t="str">
        <f t="shared" si="14"/>
        <v>Sedentary</v>
      </c>
      <c r="T170" s="2">
        <v>2255</v>
      </c>
    </row>
    <row r="171" spans="1:20" x14ac:dyDescent="0.25">
      <c r="A171" s="2">
        <v>1927972279</v>
      </c>
      <c r="B171" s="3">
        <v>42473</v>
      </c>
      <c r="C171" t="str">
        <f t="shared" si="11"/>
        <v>Wednesday</v>
      </c>
      <c r="D171" t="str">
        <f t="shared" si="13"/>
        <v>Weekday</v>
      </c>
      <c r="E171" s="2">
        <v>356</v>
      </c>
      <c r="F171" s="2">
        <v>0.25</v>
      </c>
      <c r="G171" s="2">
        <v>0.25</v>
      </c>
      <c r="H171" s="2">
        <v>0</v>
      </c>
      <c r="I171" s="2">
        <v>0</v>
      </c>
      <c r="J171" s="2">
        <v>0</v>
      </c>
      <c r="K171" s="2">
        <v>0.25</v>
      </c>
      <c r="L171" s="2">
        <v>0</v>
      </c>
      <c r="M171" s="2">
        <v>0</v>
      </c>
      <c r="N171" s="2">
        <v>0</v>
      </c>
      <c r="O171" s="2">
        <v>32</v>
      </c>
      <c r="P171" s="2">
        <v>986</v>
      </c>
      <c r="Q171" s="2">
        <f t="shared" si="12"/>
        <v>32</v>
      </c>
      <c r="R171" s="2">
        <f t="shared" si="10"/>
        <v>1018</v>
      </c>
      <c r="S171" t="str">
        <f t="shared" si="14"/>
        <v>Sedentary</v>
      </c>
      <c r="T171" s="2">
        <v>2151</v>
      </c>
    </row>
    <row r="172" spans="1:20" x14ac:dyDescent="0.25">
      <c r="A172" s="2">
        <v>1927972279</v>
      </c>
      <c r="B172" s="3">
        <v>42474</v>
      </c>
      <c r="C172" t="str">
        <f t="shared" si="11"/>
        <v>Thursday</v>
      </c>
      <c r="D172" t="str">
        <f t="shared" si="13"/>
        <v>Weekday</v>
      </c>
      <c r="E172" s="2">
        <v>2163</v>
      </c>
      <c r="F172" s="2">
        <v>1.5</v>
      </c>
      <c r="G172" s="2">
        <v>1.5</v>
      </c>
      <c r="H172" s="2">
        <v>0</v>
      </c>
      <c r="I172" s="2">
        <v>0</v>
      </c>
      <c r="J172" s="2">
        <v>0.40000000600000002</v>
      </c>
      <c r="K172" s="2">
        <v>1.1000000240000001</v>
      </c>
      <c r="L172" s="2">
        <v>0</v>
      </c>
      <c r="M172" s="2">
        <v>0</v>
      </c>
      <c r="N172" s="2">
        <v>9</v>
      </c>
      <c r="O172" s="2">
        <v>88</v>
      </c>
      <c r="P172" s="2">
        <v>1292</v>
      </c>
      <c r="Q172" s="2">
        <f t="shared" si="12"/>
        <v>97</v>
      </c>
      <c r="R172" s="2">
        <f t="shared" si="10"/>
        <v>1389</v>
      </c>
      <c r="S172" t="str">
        <f t="shared" si="14"/>
        <v>Sedentary</v>
      </c>
      <c r="T172" s="2">
        <v>2383</v>
      </c>
    </row>
    <row r="173" spans="1:20" x14ac:dyDescent="0.25">
      <c r="A173" s="2">
        <v>1927972279</v>
      </c>
      <c r="B173" s="3">
        <v>42475</v>
      </c>
      <c r="C173" t="str">
        <f t="shared" si="11"/>
        <v>Friday</v>
      </c>
      <c r="D173" t="str">
        <f t="shared" si="13"/>
        <v>Weekday</v>
      </c>
      <c r="E173" s="2">
        <v>980</v>
      </c>
      <c r="F173" s="2">
        <v>0.68000000699999996</v>
      </c>
      <c r="G173" s="2">
        <v>0.68000000699999996</v>
      </c>
      <c r="H173" s="2">
        <v>0</v>
      </c>
      <c r="I173" s="2">
        <v>0</v>
      </c>
      <c r="J173" s="2">
        <v>0</v>
      </c>
      <c r="K173" s="2">
        <v>0.68000000699999996</v>
      </c>
      <c r="L173" s="2">
        <v>0</v>
      </c>
      <c r="M173" s="2">
        <v>0</v>
      </c>
      <c r="N173" s="2">
        <v>0</v>
      </c>
      <c r="O173" s="2">
        <v>51</v>
      </c>
      <c r="P173" s="2">
        <v>941</v>
      </c>
      <c r="Q173" s="2">
        <f t="shared" si="12"/>
        <v>51</v>
      </c>
      <c r="R173" s="2">
        <f t="shared" si="10"/>
        <v>992</v>
      </c>
      <c r="S173" t="str">
        <f t="shared" si="14"/>
        <v>Sedentary</v>
      </c>
      <c r="T173" s="2">
        <v>2221</v>
      </c>
    </row>
    <row r="174" spans="1:20" x14ac:dyDescent="0.25">
      <c r="A174" s="2">
        <v>1927972279</v>
      </c>
      <c r="B174" s="3">
        <v>42478</v>
      </c>
      <c r="C174" t="str">
        <f t="shared" si="11"/>
        <v>Monday</v>
      </c>
      <c r="D174" t="str">
        <f t="shared" si="13"/>
        <v>Weekday</v>
      </c>
      <c r="E174" s="2">
        <v>244</v>
      </c>
      <c r="F174" s="2">
        <v>0.17000000200000001</v>
      </c>
      <c r="G174" s="2">
        <v>0.17000000200000001</v>
      </c>
      <c r="H174" s="2">
        <v>0</v>
      </c>
      <c r="I174" s="2">
        <v>0</v>
      </c>
      <c r="J174" s="2">
        <v>0</v>
      </c>
      <c r="K174" s="2">
        <v>0.17000000200000001</v>
      </c>
      <c r="L174" s="2">
        <v>0</v>
      </c>
      <c r="M174" s="2">
        <v>0</v>
      </c>
      <c r="N174" s="2">
        <v>0</v>
      </c>
      <c r="O174" s="2">
        <v>17</v>
      </c>
      <c r="P174" s="2">
        <v>1423</v>
      </c>
      <c r="Q174" s="2">
        <f t="shared" si="12"/>
        <v>17</v>
      </c>
      <c r="R174" s="2">
        <f t="shared" si="10"/>
        <v>1440</v>
      </c>
      <c r="S174" t="str">
        <f t="shared" si="14"/>
        <v>Sedentary</v>
      </c>
      <c r="T174" s="2">
        <v>2111</v>
      </c>
    </row>
    <row r="175" spans="1:20" x14ac:dyDescent="0.25">
      <c r="A175" s="2">
        <v>1927972279</v>
      </c>
      <c r="B175" s="3">
        <v>42483</v>
      </c>
      <c r="C175" t="str">
        <f t="shared" si="11"/>
        <v>Saturday</v>
      </c>
      <c r="D175" t="str">
        <f t="shared" si="13"/>
        <v>Weekend</v>
      </c>
      <c r="E175" s="2">
        <v>2945</v>
      </c>
      <c r="F175" s="2">
        <v>2.039999962</v>
      </c>
      <c r="G175" s="2">
        <v>2.039999962</v>
      </c>
      <c r="H175" s="2">
        <v>0</v>
      </c>
      <c r="I175" s="2">
        <v>0</v>
      </c>
      <c r="J175" s="2">
        <v>0</v>
      </c>
      <c r="K175" s="2">
        <v>2.039999962</v>
      </c>
      <c r="L175" s="2">
        <v>0</v>
      </c>
      <c r="M175" s="2">
        <v>0</v>
      </c>
      <c r="N175" s="2">
        <v>0</v>
      </c>
      <c r="O175" s="2">
        <v>145</v>
      </c>
      <c r="P175" s="2">
        <v>1295</v>
      </c>
      <c r="Q175" s="2">
        <f t="shared" si="12"/>
        <v>145</v>
      </c>
      <c r="R175" s="2">
        <f t="shared" si="10"/>
        <v>1440</v>
      </c>
      <c r="S175" t="str">
        <f t="shared" si="14"/>
        <v>Sedentary</v>
      </c>
      <c r="T175" s="2">
        <v>2499</v>
      </c>
    </row>
    <row r="176" spans="1:20" x14ac:dyDescent="0.25">
      <c r="A176" s="2">
        <v>1927972279</v>
      </c>
      <c r="B176" s="3">
        <v>42484</v>
      </c>
      <c r="C176" t="str">
        <f t="shared" si="11"/>
        <v>Sunday</v>
      </c>
      <c r="D176" t="str">
        <f t="shared" si="13"/>
        <v>Weekend</v>
      </c>
      <c r="E176" s="2">
        <v>2090</v>
      </c>
      <c r="F176" s="2">
        <v>1.4500000479999999</v>
      </c>
      <c r="G176" s="2">
        <v>1.4500000479999999</v>
      </c>
      <c r="H176" s="2">
        <v>0</v>
      </c>
      <c r="I176" s="2">
        <v>7.0000000000000007E-2</v>
      </c>
      <c r="J176" s="2">
        <v>0.23999999499999999</v>
      </c>
      <c r="K176" s="2">
        <v>1.1399999860000001</v>
      </c>
      <c r="L176" s="2">
        <v>0</v>
      </c>
      <c r="M176" s="2">
        <v>1</v>
      </c>
      <c r="N176" s="2">
        <v>6</v>
      </c>
      <c r="O176" s="2">
        <v>75</v>
      </c>
      <c r="P176" s="2">
        <v>1358</v>
      </c>
      <c r="Q176" s="2">
        <f t="shared" si="12"/>
        <v>82</v>
      </c>
      <c r="R176" s="2">
        <f t="shared" si="10"/>
        <v>1440</v>
      </c>
      <c r="S176" t="str">
        <f t="shared" si="14"/>
        <v>Sedentary</v>
      </c>
      <c r="T176" s="2">
        <v>2324</v>
      </c>
    </row>
    <row r="177" spans="1:20" x14ac:dyDescent="0.25">
      <c r="A177" s="2">
        <v>1927972279</v>
      </c>
      <c r="B177" s="3">
        <v>42486</v>
      </c>
      <c r="C177" t="str">
        <f t="shared" si="11"/>
        <v>Tuesday</v>
      </c>
      <c r="D177" t="str">
        <f t="shared" si="13"/>
        <v>Weekday</v>
      </c>
      <c r="E177" s="2">
        <v>3761</v>
      </c>
      <c r="F177" s="2">
        <v>2.5999999049999998</v>
      </c>
      <c r="G177" s="2">
        <v>2.5999999049999998</v>
      </c>
      <c r="H177" s="2">
        <v>0</v>
      </c>
      <c r="I177" s="2">
        <v>0</v>
      </c>
      <c r="J177" s="2">
        <v>0</v>
      </c>
      <c r="K177" s="2">
        <v>2.5999999049999998</v>
      </c>
      <c r="L177" s="2">
        <v>0</v>
      </c>
      <c r="M177" s="2">
        <v>0</v>
      </c>
      <c r="N177" s="2">
        <v>0</v>
      </c>
      <c r="O177" s="2">
        <v>192</v>
      </c>
      <c r="P177" s="2">
        <v>1058</v>
      </c>
      <c r="Q177" s="2">
        <f t="shared" si="12"/>
        <v>192</v>
      </c>
      <c r="R177" s="2">
        <f t="shared" si="10"/>
        <v>1250</v>
      </c>
      <c r="S177" t="str">
        <f t="shared" si="14"/>
        <v>Sedentary</v>
      </c>
      <c r="T177" s="2">
        <v>2638</v>
      </c>
    </row>
    <row r="178" spans="1:20" x14ac:dyDescent="0.25">
      <c r="A178" s="2">
        <v>1927972279</v>
      </c>
      <c r="B178" s="3">
        <v>42488</v>
      </c>
      <c r="C178" t="str">
        <f t="shared" si="11"/>
        <v>Thursday</v>
      </c>
      <c r="D178" t="str">
        <f t="shared" si="13"/>
        <v>Weekday</v>
      </c>
      <c r="E178" s="2">
        <v>1675</v>
      </c>
      <c r="F178" s="2">
        <v>1.1599999670000001</v>
      </c>
      <c r="G178" s="2">
        <v>1.1599999670000001</v>
      </c>
      <c r="H178" s="2">
        <v>0</v>
      </c>
      <c r="I178" s="2">
        <v>0</v>
      </c>
      <c r="J178" s="2">
        <v>0</v>
      </c>
      <c r="K178" s="2">
        <v>1.1599999670000001</v>
      </c>
      <c r="L178" s="2">
        <v>0</v>
      </c>
      <c r="M178" s="2">
        <v>0</v>
      </c>
      <c r="N178" s="2">
        <v>0</v>
      </c>
      <c r="O178" s="2">
        <v>95</v>
      </c>
      <c r="P178" s="2">
        <v>1167</v>
      </c>
      <c r="Q178" s="2">
        <f t="shared" si="12"/>
        <v>95</v>
      </c>
      <c r="R178" s="2">
        <f t="shared" si="10"/>
        <v>1262</v>
      </c>
      <c r="S178" t="str">
        <f t="shared" si="14"/>
        <v>Sedentary</v>
      </c>
      <c r="T178" s="2">
        <v>2351</v>
      </c>
    </row>
    <row r="179" spans="1:20" x14ac:dyDescent="0.25">
      <c r="A179" s="2">
        <v>1927972279</v>
      </c>
      <c r="B179" s="3">
        <v>42491</v>
      </c>
      <c r="C179" t="str">
        <f t="shared" si="11"/>
        <v>Sunday</v>
      </c>
      <c r="D179" t="str">
        <f t="shared" si="13"/>
        <v>Weekend</v>
      </c>
      <c r="E179" s="2">
        <v>2704</v>
      </c>
      <c r="F179" s="2">
        <v>1.8700000050000001</v>
      </c>
      <c r="G179" s="2">
        <v>1.8700000050000001</v>
      </c>
      <c r="H179" s="2">
        <v>0</v>
      </c>
      <c r="I179" s="2">
        <v>1.0099999900000001</v>
      </c>
      <c r="J179" s="2">
        <v>2.9999998999999999E-2</v>
      </c>
      <c r="K179" s="2">
        <v>0.829999983</v>
      </c>
      <c r="L179" s="2">
        <v>0</v>
      </c>
      <c r="M179" s="2">
        <v>14</v>
      </c>
      <c r="N179" s="2">
        <v>1</v>
      </c>
      <c r="O179" s="2">
        <v>70</v>
      </c>
      <c r="P179" s="2">
        <v>1355</v>
      </c>
      <c r="Q179" s="2">
        <f t="shared" si="12"/>
        <v>85</v>
      </c>
      <c r="R179" s="2">
        <f t="shared" si="10"/>
        <v>1440</v>
      </c>
      <c r="S179" t="str">
        <f t="shared" si="14"/>
        <v>Sedentary</v>
      </c>
      <c r="T179" s="2">
        <v>2411</v>
      </c>
    </row>
    <row r="180" spans="1:20" x14ac:dyDescent="0.25">
      <c r="A180" s="2">
        <v>1927972279</v>
      </c>
      <c r="B180" s="3">
        <v>42492</v>
      </c>
      <c r="C180" t="str">
        <f t="shared" si="11"/>
        <v>Monday</v>
      </c>
      <c r="D180" t="str">
        <f t="shared" si="13"/>
        <v>Weekday</v>
      </c>
      <c r="E180" s="2">
        <v>3790</v>
      </c>
      <c r="F180" s="2">
        <v>2.619999886</v>
      </c>
      <c r="G180" s="2">
        <v>2.619999886</v>
      </c>
      <c r="H180" s="2">
        <v>0</v>
      </c>
      <c r="I180" s="2">
        <v>1.1599999670000001</v>
      </c>
      <c r="J180" s="2">
        <v>0.30000001199999998</v>
      </c>
      <c r="K180" s="2">
        <v>1.1599999670000001</v>
      </c>
      <c r="L180" s="2">
        <v>0</v>
      </c>
      <c r="M180" s="2">
        <v>16</v>
      </c>
      <c r="N180" s="2">
        <v>8</v>
      </c>
      <c r="O180" s="2">
        <v>94</v>
      </c>
      <c r="P180" s="2">
        <v>1322</v>
      </c>
      <c r="Q180" s="2">
        <f t="shared" si="12"/>
        <v>118</v>
      </c>
      <c r="R180" s="2">
        <f t="shared" si="10"/>
        <v>1440</v>
      </c>
      <c r="S180" t="str">
        <f t="shared" si="14"/>
        <v>Sedentary</v>
      </c>
      <c r="T180" s="2">
        <v>2505</v>
      </c>
    </row>
    <row r="181" spans="1:20" x14ac:dyDescent="0.25">
      <c r="A181" s="2">
        <v>1927972279</v>
      </c>
      <c r="B181" s="3">
        <v>42493</v>
      </c>
      <c r="C181" t="str">
        <f t="shared" si="11"/>
        <v>Tuesday</v>
      </c>
      <c r="D181" t="str">
        <f t="shared" si="13"/>
        <v>Weekday</v>
      </c>
      <c r="E181" s="2">
        <v>1326</v>
      </c>
      <c r="F181" s="2">
        <v>0.920000017</v>
      </c>
      <c r="G181" s="2">
        <v>0.920000017</v>
      </c>
      <c r="H181" s="2">
        <v>0</v>
      </c>
      <c r="I181" s="2">
        <v>0.730000019</v>
      </c>
      <c r="J181" s="2">
        <v>0</v>
      </c>
      <c r="K181" s="2">
        <v>0.18000000699999999</v>
      </c>
      <c r="L181" s="2">
        <v>0</v>
      </c>
      <c r="M181" s="2">
        <v>10</v>
      </c>
      <c r="N181" s="2">
        <v>0</v>
      </c>
      <c r="O181" s="2">
        <v>17</v>
      </c>
      <c r="P181" s="2">
        <v>1413</v>
      </c>
      <c r="Q181" s="2">
        <f t="shared" si="12"/>
        <v>27</v>
      </c>
      <c r="R181" s="2">
        <f t="shared" si="10"/>
        <v>1440</v>
      </c>
      <c r="S181" t="str">
        <f t="shared" si="14"/>
        <v>Sedentary</v>
      </c>
      <c r="T181" s="2">
        <v>2195</v>
      </c>
    </row>
    <row r="182" spans="1:20" x14ac:dyDescent="0.25">
      <c r="A182" s="2">
        <v>1927972279</v>
      </c>
      <c r="B182" s="3">
        <v>42494</v>
      </c>
      <c r="C182" t="str">
        <f t="shared" si="11"/>
        <v>Wednesday</v>
      </c>
      <c r="D182" t="str">
        <f t="shared" si="13"/>
        <v>Weekday</v>
      </c>
      <c r="E182" s="2">
        <v>1786</v>
      </c>
      <c r="F182" s="2">
        <v>1.2400000099999999</v>
      </c>
      <c r="G182" s="2">
        <v>1.2400000099999999</v>
      </c>
      <c r="H182" s="2">
        <v>0</v>
      </c>
      <c r="I182" s="2">
        <v>0</v>
      </c>
      <c r="J182" s="2">
        <v>0</v>
      </c>
      <c r="K182" s="2">
        <v>1.2400000099999999</v>
      </c>
      <c r="L182" s="2">
        <v>0</v>
      </c>
      <c r="M182" s="2">
        <v>0</v>
      </c>
      <c r="N182" s="2">
        <v>0</v>
      </c>
      <c r="O182" s="2">
        <v>87</v>
      </c>
      <c r="P182" s="2">
        <v>1353</v>
      </c>
      <c r="Q182" s="2">
        <f t="shared" si="12"/>
        <v>87</v>
      </c>
      <c r="R182" s="2">
        <f t="shared" si="10"/>
        <v>1440</v>
      </c>
      <c r="S182" t="str">
        <f t="shared" si="14"/>
        <v>Sedentary</v>
      </c>
      <c r="T182" s="2">
        <v>2338</v>
      </c>
    </row>
    <row r="183" spans="1:20" x14ac:dyDescent="0.25">
      <c r="A183" s="2">
        <v>1927972279</v>
      </c>
      <c r="B183" s="3">
        <v>42496</v>
      </c>
      <c r="C183" t="str">
        <f t="shared" si="11"/>
        <v>Friday</v>
      </c>
      <c r="D183" t="str">
        <f t="shared" si="13"/>
        <v>Weekday</v>
      </c>
      <c r="E183" s="2">
        <v>2091</v>
      </c>
      <c r="F183" s="2">
        <v>1.4500000479999999</v>
      </c>
      <c r="G183" s="2">
        <v>1.4500000479999999</v>
      </c>
      <c r="H183" s="2">
        <v>0</v>
      </c>
      <c r="I183" s="2">
        <v>0</v>
      </c>
      <c r="J183" s="2">
        <v>0</v>
      </c>
      <c r="K183" s="2">
        <v>1.4500000479999999</v>
      </c>
      <c r="L183" s="2">
        <v>0</v>
      </c>
      <c r="M183" s="2">
        <v>0</v>
      </c>
      <c r="N183" s="2">
        <v>0</v>
      </c>
      <c r="O183" s="2">
        <v>108</v>
      </c>
      <c r="P183" s="2">
        <v>1332</v>
      </c>
      <c r="Q183" s="2">
        <f t="shared" si="12"/>
        <v>108</v>
      </c>
      <c r="R183" s="2">
        <f t="shared" si="10"/>
        <v>1440</v>
      </c>
      <c r="S183" t="str">
        <f t="shared" si="14"/>
        <v>Sedentary</v>
      </c>
      <c r="T183" s="2">
        <v>2383</v>
      </c>
    </row>
    <row r="184" spans="1:20" x14ac:dyDescent="0.25">
      <c r="A184" s="2">
        <v>1927972279</v>
      </c>
      <c r="B184" s="3">
        <v>42497</v>
      </c>
      <c r="C184" t="str">
        <f t="shared" si="11"/>
        <v>Saturday</v>
      </c>
      <c r="D184" t="str">
        <f t="shared" si="13"/>
        <v>Weekend</v>
      </c>
      <c r="E184" s="2">
        <v>1510</v>
      </c>
      <c r="F184" s="2">
        <v>1.039999962</v>
      </c>
      <c r="G184" s="2">
        <v>1.039999962</v>
      </c>
      <c r="H184" s="2">
        <v>0</v>
      </c>
      <c r="I184" s="2">
        <v>0</v>
      </c>
      <c r="J184" s="2">
        <v>0</v>
      </c>
      <c r="K184" s="2">
        <v>1.039999962</v>
      </c>
      <c r="L184" s="2">
        <v>0</v>
      </c>
      <c r="M184" s="2">
        <v>0</v>
      </c>
      <c r="N184" s="2">
        <v>0</v>
      </c>
      <c r="O184" s="2">
        <v>48</v>
      </c>
      <c r="P184" s="2">
        <v>1392</v>
      </c>
      <c r="Q184" s="2">
        <f t="shared" si="12"/>
        <v>48</v>
      </c>
      <c r="R184" s="2">
        <f t="shared" ref="R184:R246" si="15">SUM(M184:P184)</f>
        <v>1440</v>
      </c>
      <c r="S184" t="str">
        <f t="shared" si="14"/>
        <v>Sedentary</v>
      </c>
      <c r="T184" s="2">
        <v>2229</v>
      </c>
    </row>
    <row r="185" spans="1:20" x14ac:dyDescent="0.25">
      <c r="A185" s="2">
        <v>2022484408</v>
      </c>
      <c r="B185" s="3">
        <v>42461</v>
      </c>
      <c r="C185" t="str">
        <f t="shared" ref="C185:C247" si="16">CHOOSE(WEEKDAY(B185), "Sunday", "Monday", "Tuesday", "Wednesday", "Thursday", "Friday", "Saturday")</f>
        <v>Friday</v>
      </c>
      <c r="D185" t="str">
        <f t="shared" si="13"/>
        <v>Weekday</v>
      </c>
      <c r="E185" s="2">
        <v>13603</v>
      </c>
      <c r="F185" s="2">
        <v>9.6000003809999992</v>
      </c>
      <c r="G185" s="2">
        <v>9.6000003809999992</v>
      </c>
      <c r="H185" s="2">
        <v>0</v>
      </c>
      <c r="I185" s="2">
        <v>5.4600000380000004</v>
      </c>
      <c r="J185" s="2">
        <v>0.62999999500000003</v>
      </c>
      <c r="K185" s="2">
        <v>3.5099999899999998</v>
      </c>
      <c r="L185" s="2">
        <v>0</v>
      </c>
      <c r="M185" s="2">
        <v>72</v>
      </c>
      <c r="N185" s="2">
        <v>16</v>
      </c>
      <c r="O185" s="2">
        <v>213</v>
      </c>
      <c r="P185" s="2">
        <v>1139</v>
      </c>
      <c r="Q185" s="2">
        <f t="shared" ref="Q185:Q247" si="17">SUM(M185:O185)</f>
        <v>301</v>
      </c>
      <c r="R185" s="2">
        <f t="shared" si="15"/>
        <v>1440</v>
      </c>
      <c r="S185" t="str">
        <f t="shared" si="14"/>
        <v>Highly Active</v>
      </c>
      <c r="T185" s="2">
        <v>2645</v>
      </c>
    </row>
    <row r="186" spans="1:20" x14ac:dyDescent="0.25">
      <c r="A186" s="2">
        <v>2022484408</v>
      </c>
      <c r="B186" s="3">
        <v>42462</v>
      </c>
      <c r="C186" t="str">
        <f t="shared" si="16"/>
        <v>Saturday</v>
      </c>
      <c r="D186" t="str">
        <f t="shared" si="13"/>
        <v>Weekend</v>
      </c>
      <c r="E186" s="2">
        <v>5477</v>
      </c>
      <c r="F186" s="2">
        <v>3.8399999139999998</v>
      </c>
      <c r="G186" s="2">
        <v>3.8399999139999998</v>
      </c>
      <c r="H186" s="2">
        <v>0</v>
      </c>
      <c r="I186" s="2">
        <v>0</v>
      </c>
      <c r="J186" s="2">
        <v>0</v>
      </c>
      <c r="K186" s="2">
        <v>3.8399999139999998</v>
      </c>
      <c r="L186" s="2">
        <v>0</v>
      </c>
      <c r="M186" s="2">
        <v>0</v>
      </c>
      <c r="N186" s="2">
        <v>0</v>
      </c>
      <c r="O186" s="2">
        <v>237</v>
      </c>
      <c r="P186" s="2">
        <v>1203</v>
      </c>
      <c r="Q186" s="2">
        <f t="shared" si="17"/>
        <v>237</v>
      </c>
      <c r="R186" s="2">
        <f t="shared" si="15"/>
        <v>1440</v>
      </c>
      <c r="S186" t="str">
        <f t="shared" si="14"/>
        <v>Lightly Active</v>
      </c>
      <c r="T186" s="2">
        <v>2040</v>
      </c>
    </row>
    <row r="187" spans="1:20" x14ac:dyDescent="0.25">
      <c r="A187" s="2">
        <v>2022484408</v>
      </c>
      <c r="B187" s="3">
        <v>42463</v>
      </c>
      <c r="C187" t="str">
        <f t="shared" si="16"/>
        <v>Sunday</v>
      </c>
      <c r="D187" t="str">
        <f t="shared" si="13"/>
        <v>Weekend</v>
      </c>
      <c r="E187" s="2">
        <v>11144</v>
      </c>
      <c r="F187" s="2">
        <v>7.8200001720000003</v>
      </c>
      <c r="G187" s="2">
        <v>7.8200001720000003</v>
      </c>
      <c r="H187" s="2">
        <v>0</v>
      </c>
      <c r="I187" s="2">
        <v>1.789999962</v>
      </c>
      <c r="J187" s="2">
        <v>0.88999998599999997</v>
      </c>
      <c r="K187" s="2">
        <v>5.1399998660000001</v>
      </c>
      <c r="L187" s="2">
        <v>0</v>
      </c>
      <c r="M187" s="2">
        <v>25</v>
      </c>
      <c r="N187" s="2">
        <v>22</v>
      </c>
      <c r="O187" s="2">
        <v>279</v>
      </c>
      <c r="P187" s="2">
        <v>1114</v>
      </c>
      <c r="Q187" s="2">
        <f t="shared" si="17"/>
        <v>326</v>
      </c>
      <c r="R187" s="2">
        <f t="shared" si="15"/>
        <v>1440</v>
      </c>
      <c r="S187" t="str">
        <f t="shared" si="14"/>
        <v>Highly Active</v>
      </c>
      <c r="T187" s="2">
        <v>2395</v>
      </c>
    </row>
    <row r="188" spans="1:20" x14ac:dyDescent="0.25">
      <c r="A188" s="2">
        <v>2022484408</v>
      </c>
      <c r="B188" s="3">
        <v>42464</v>
      </c>
      <c r="C188" t="str">
        <f t="shared" si="16"/>
        <v>Monday</v>
      </c>
      <c r="D188" t="str">
        <f t="shared" si="13"/>
        <v>Weekday</v>
      </c>
      <c r="E188" s="2">
        <v>15313</v>
      </c>
      <c r="F188" s="2">
        <v>11</v>
      </c>
      <c r="G188" s="2">
        <v>11</v>
      </c>
      <c r="H188" s="2">
        <v>0</v>
      </c>
      <c r="I188" s="2">
        <v>5.0199999809999998</v>
      </c>
      <c r="J188" s="2">
        <v>1.289999962</v>
      </c>
      <c r="K188" s="2">
        <v>4.6900000569999998</v>
      </c>
      <c r="L188" s="2">
        <v>0</v>
      </c>
      <c r="M188" s="2">
        <v>62</v>
      </c>
      <c r="N188" s="2">
        <v>19</v>
      </c>
      <c r="O188" s="2">
        <v>233</v>
      </c>
      <c r="P188" s="2">
        <v>1126</v>
      </c>
      <c r="Q188" s="2">
        <f t="shared" si="17"/>
        <v>314</v>
      </c>
      <c r="R188" s="2">
        <f t="shared" si="15"/>
        <v>1440</v>
      </c>
      <c r="S188" t="str">
        <f t="shared" si="14"/>
        <v>Highly Active</v>
      </c>
      <c r="T188" s="2">
        <v>2581</v>
      </c>
    </row>
    <row r="189" spans="1:20" x14ac:dyDescent="0.25">
      <c r="A189" s="2">
        <v>2022484408</v>
      </c>
      <c r="B189" s="3">
        <v>42465</v>
      </c>
      <c r="C189" t="str">
        <f t="shared" si="16"/>
        <v>Tuesday</v>
      </c>
      <c r="D189" t="str">
        <f t="shared" si="13"/>
        <v>Weekday</v>
      </c>
      <c r="E189" s="2">
        <v>10805</v>
      </c>
      <c r="F189" s="2">
        <v>7.5900001530000001</v>
      </c>
      <c r="G189" s="2">
        <v>7.5900001530000001</v>
      </c>
      <c r="H189" s="2">
        <v>0</v>
      </c>
      <c r="I189" s="2">
        <v>0.72000002900000004</v>
      </c>
      <c r="J189" s="2">
        <v>0.980000019</v>
      </c>
      <c r="K189" s="2">
        <v>5.8899998660000001</v>
      </c>
      <c r="L189" s="2">
        <v>0</v>
      </c>
      <c r="M189" s="2">
        <v>36</v>
      </c>
      <c r="N189" s="2">
        <v>37</v>
      </c>
      <c r="O189" s="2">
        <v>298</v>
      </c>
      <c r="P189" s="2">
        <v>1069</v>
      </c>
      <c r="Q189" s="2">
        <f t="shared" si="17"/>
        <v>371</v>
      </c>
      <c r="R189" s="2">
        <f t="shared" si="15"/>
        <v>1440</v>
      </c>
      <c r="S189" t="str">
        <f t="shared" si="14"/>
        <v>Highly Active</v>
      </c>
      <c r="T189" s="2">
        <v>2735</v>
      </c>
    </row>
    <row r="190" spans="1:20" x14ac:dyDescent="0.25">
      <c r="A190" s="2">
        <v>2022484408</v>
      </c>
      <c r="B190" s="3">
        <v>42466</v>
      </c>
      <c r="C190" t="str">
        <f t="shared" si="16"/>
        <v>Wednesday</v>
      </c>
      <c r="D190" t="str">
        <f t="shared" si="13"/>
        <v>Weekday</v>
      </c>
      <c r="E190" s="2">
        <v>15392</v>
      </c>
      <c r="F190" s="2">
        <v>10.93000031</v>
      </c>
      <c r="G190" s="2">
        <v>10.93000031</v>
      </c>
      <c r="H190" s="2">
        <v>0</v>
      </c>
      <c r="I190" s="2">
        <v>3.4300000669999999</v>
      </c>
      <c r="J190" s="2">
        <v>1.75</v>
      </c>
      <c r="K190" s="2">
        <v>5.75</v>
      </c>
      <c r="L190" s="2">
        <v>0</v>
      </c>
      <c r="M190" s="2">
        <v>47</v>
      </c>
      <c r="N190" s="2">
        <v>42</v>
      </c>
      <c r="O190" s="2">
        <v>258</v>
      </c>
      <c r="P190" s="2">
        <v>1093</v>
      </c>
      <c r="Q190" s="2">
        <f t="shared" si="17"/>
        <v>347</v>
      </c>
      <c r="R190" s="2">
        <f t="shared" si="15"/>
        <v>1440</v>
      </c>
      <c r="S190" t="str">
        <f t="shared" si="14"/>
        <v>Highly Active</v>
      </c>
      <c r="T190" s="2">
        <v>2733</v>
      </c>
    </row>
    <row r="191" spans="1:20" x14ac:dyDescent="0.25">
      <c r="A191" s="2">
        <v>2022484408</v>
      </c>
      <c r="B191" s="3">
        <v>42467</v>
      </c>
      <c r="C191" t="str">
        <f t="shared" si="16"/>
        <v>Thursday</v>
      </c>
      <c r="D191" t="str">
        <f t="shared" si="13"/>
        <v>Weekday</v>
      </c>
      <c r="E191" s="2">
        <v>18247</v>
      </c>
      <c r="F191" s="2">
        <v>13.829999920000001</v>
      </c>
      <c r="G191" s="2">
        <v>13.829999920000001</v>
      </c>
      <c r="H191" s="2">
        <v>0</v>
      </c>
      <c r="I191" s="2">
        <v>7.1100001339999999</v>
      </c>
      <c r="J191" s="2">
        <v>2.210000038</v>
      </c>
      <c r="K191" s="2">
        <v>4.5100002290000001</v>
      </c>
      <c r="L191" s="2">
        <v>0</v>
      </c>
      <c r="M191" s="2">
        <v>72</v>
      </c>
      <c r="N191" s="2">
        <v>62</v>
      </c>
      <c r="O191" s="2">
        <v>252</v>
      </c>
      <c r="P191" s="2">
        <v>1054</v>
      </c>
      <c r="Q191" s="2">
        <f t="shared" si="17"/>
        <v>386</v>
      </c>
      <c r="R191" s="2">
        <f t="shared" si="15"/>
        <v>1440</v>
      </c>
      <c r="S191" t="str">
        <f t="shared" si="14"/>
        <v>Highly Active</v>
      </c>
      <c r="T191" s="2">
        <v>3021</v>
      </c>
    </row>
    <row r="192" spans="1:20" x14ac:dyDescent="0.25">
      <c r="A192" s="2">
        <v>2022484408</v>
      </c>
      <c r="B192" s="3">
        <v>42468</v>
      </c>
      <c r="C192" t="str">
        <f t="shared" si="16"/>
        <v>Friday</v>
      </c>
      <c r="D192" t="str">
        <f t="shared" si="13"/>
        <v>Weekday</v>
      </c>
      <c r="E192" s="2">
        <v>13023</v>
      </c>
      <c r="F192" s="2">
        <v>9.2600002289999992</v>
      </c>
      <c r="G192" s="2">
        <v>9.2600002289999992</v>
      </c>
      <c r="H192" s="2">
        <v>0</v>
      </c>
      <c r="I192" s="2">
        <v>3.2300000190000002</v>
      </c>
      <c r="J192" s="2">
        <v>0.560000002</v>
      </c>
      <c r="K192" s="2">
        <v>5.4699997900000001</v>
      </c>
      <c r="L192" s="2">
        <v>0</v>
      </c>
      <c r="M192" s="2">
        <v>40</v>
      </c>
      <c r="N192" s="2">
        <v>12</v>
      </c>
      <c r="O192" s="2">
        <v>296</v>
      </c>
      <c r="P192" s="2">
        <v>1092</v>
      </c>
      <c r="Q192" s="2">
        <f t="shared" si="17"/>
        <v>348</v>
      </c>
      <c r="R192" s="2">
        <f t="shared" si="15"/>
        <v>1440</v>
      </c>
      <c r="S192" t="str">
        <f t="shared" si="14"/>
        <v>Highly Active</v>
      </c>
      <c r="T192" s="2">
        <v>2577</v>
      </c>
    </row>
    <row r="193" spans="1:20" x14ac:dyDescent="0.25">
      <c r="A193" s="2">
        <v>2022484408</v>
      </c>
      <c r="B193" s="3">
        <v>42469</v>
      </c>
      <c r="C193" t="str">
        <f t="shared" si="16"/>
        <v>Saturday</v>
      </c>
      <c r="D193" t="str">
        <f t="shared" si="13"/>
        <v>Weekend</v>
      </c>
      <c r="E193" s="2">
        <v>16267</v>
      </c>
      <c r="F193" s="2">
        <v>12.59000015</v>
      </c>
      <c r="G193" s="2">
        <v>12.59000015</v>
      </c>
      <c r="H193" s="2">
        <v>0</v>
      </c>
      <c r="I193" s="2">
        <v>5.75</v>
      </c>
      <c r="J193" s="2">
        <v>0.469999999</v>
      </c>
      <c r="K193" s="2">
        <v>6.3699998860000004</v>
      </c>
      <c r="L193" s="2">
        <v>0</v>
      </c>
      <c r="M193" s="2">
        <v>44</v>
      </c>
      <c r="N193" s="2">
        <v>16</v>
      </c>
      <c r="O193" s="2">
        <v>302</v>
      </c>
      <c r="P193" s="2">
        <v>1078</v>
      </c>
      <c r="Q193" s="2">
        <f t="shared" si="17"/>
        <v>362</v>
      </c>
      <c r="R193" s="2">
        <f t="shared" si="15"/>
        <v>1440</v>
      </c>
      <c r="S193" t="str">
        <f t="shared" si="14"/>
        <v>Highly Active</v>
      </c>
      <c r="T193" s="2">
        <v>2811</v>
      </c>
    </row>
    <row r="194" spans="1:20" x14ac:dyDescent="0.25">
      <c r="A194" s="2">
        <v>2022484408</v>
      </c>
      <c r="B194" s="3">
        <v>42470</v>
      </c>
      <c r="C194" t="str">
        <f t="shared" si="16"/>
        <v>Sunday</v>
      </c>
      <c r="D194" t="str">
        <f t="shared" si="13"/>
        <v>Weekend</v>
      </c>
      <c r="E194" s="2">
        <v>10005</v>
      </c>
      <c r="F194" s="2">
        <v>7.0199999809999998</v>
      </c>
      <c r="G194" s="2">
        <v>7.0199999809999998</v>
      </c>
      <c r="H194" s="2">
        <v>0</v>
      </c>
      <c r="I194" s="2">
        <v>7.9999998000000003E-2</v>
      </c>
      <c r="J194" s="2">
        <v>1.0499999520000001</v>
      </c>
      <c r="K194" s="2">
        <v>5.9000000950000002</v>
      </c>
      <c r="L194" s="2">
        <v>0</v>
      </c>
      <c r="M194" s="2">
        <v>1</v>
      </c>
      <c r="N194" s="2">
        <v>23</v>
      </c>
      <c r="O194" s="2">
        <v>339</v>
      </c>
      <c r="P194" s="2">
        <v>1077</v>
      </c>
      <c r="Q194" s="2">
        <f t="shared" si="17"/>
        <v>363</v>
      </c>
      <c r="R194" s="2">
        <f t="shared" si="15"/>
        <v>1440</v>
      </c>
      <c r="S194" t="str">
        <f t="shared" si="14"/>
        <v>Highly Active</v>
      </c>
      <c r="T194" s="2">
        <v>2458</v>
      </c>
    </row>
    <row r="195" spans="1:20" x14ac:dyDescent="0.25">
      <c r="A195" s="2">
        <v>2022484408</v>
      </c>
      <c r="B195" s="3">
        <v>42471</v>
      </c>
      <c r="C195" t="str">
        <f t="shared" si="16"/>
        <v>Monday</v>
      </c>
      <c r="D195" t="str">
        <f t="shared" ref="D195:D258" si="18">IF(OR(C195="Saturday", C195="Sunday"), "Weekend", "Weekday")</f>
        <v>Weekday</v>
      </c>
      <c r="E195" s="2">
        <v>10106</v>
      </c>
      <c r="F195" s="2">
        <v>7.0900001530000001</v>
      </c>
      <c r="G195" s="2">
        <v>7.0900001530000001</v>
      </c>
      <c r="H195" s="2">
        <v>0</v>
      </c>
      <c r="I195" s="2">
        <v>1.210000038</v>
      </c>
      <c r="J195" s="2">
        <v>0.560000002</v>
      </c>
      <c r="K195" s="2">
        <v>5.329999924</v>
      </c>
      <c r="L195" s="2">
        <v>0</v>
      </c>
      <c r="M195" s="2">
        <v>41</v>
      </c>
      <c r="N195" s="2">
        <v>16</v>
      </c>
      <c r="O195" s="2">
        <v>272</v>
      </c>
      <c r="P195" s="2">
        <v>1111</v>
      </c>
      <c r="Q195" s="2">
        <f t="shared" si="17"/>
        <v>329</v>
      </c>
      <c r="R195" s="2">
        <f t="shared" si="15"/>
        <v>1440</v>
      </c>
      <c r="S195" t="str">
        <f t="shared" ref="S195:S258" si="19">IF(E195&lt;5000, "Sedentary", IF(E195&lt;7500, "Lightly Active", IF(E195&lt;10000, "Fairly Active", "Highly Active")))</f>
        <v>Highly Active</v>
      </c>
      <c r="T195" s="2">
        <v>2568</v>
      </c>
    </row>
    <row r="196" spans="1:20" x14ac:dyDescent="0.25">
      <c r="A196" s="2">
        <v>2022484408</v>
      </c>
      <c r="B196" s="3">
        <v>42472</v>
      </c>
      <c r="C196" t="str">
        <f t="shared" si="16"/>
        <v>Tuesday</v>
      </c>
      <c r="D196" t="str">
        <f t="shared" si="18"/>
        <v>Weekday</v>
      </c>
      <c r="E196" s="2">
        <v>6717</v>
      </c>
      <c r="F196" s="2">
        <v>4.7199997900000001</v>
      </c>
      <c r="G196" s="2">
        <v>4.7199997900000001</v>
      </c>
      <c r="H196" s="2">
        <v>0</v>
      </c>
      <c r="I196" s="2">
        <v>3.2300000190000002</v>
      </c>
      <c r="J196" s="2">
        <v>0.219999999</v>
      </c>
      <c r="K196" s="2">
        <v>1.269999981</v>
      </c>
      <c r="L196" s="2">
        <v>0</v>
      </c>
      <c r="M196" s="2">
        <v>41</v>
      </c>
      <c r="N196" s="2">
        <v>5</v>
      </c>
      <c r="O196" s="2">
        <v>67</v>
      </c>
      <c r="P196" s="2">
        <v>551</v>
      </c>
      <c r="Q196" s="2">
        <f t="shared" si="17"/>
        <v>113</v>
      </c>
      <c r="R196" s="2">
        <f t="shared" si="15"/>
        <v>664</v>
      </c>
      <c r="S196" t="str">
        <f t="shared" si="19"/>
        <v>Lightly Active</v>
      </c>
      <c r="T196" s="2">
        <v>1140</v>
      </c>
    </row>
    <row r="197" spans="1:20" x14ac:dyDescent="0.25">
      <c r="A197" s="2">
        <v>2022484408</v>
      </c>
      <c r="B197" s="3">
        <v>42473</v>
      </c>
      <c r="C197" t="str">
        <f t="shared" si="16"/>
        <v>Wednesday</v>
      </c>
      <c r="D197" t="str">
        <f t="shared" si="18"/>
        <v>Weekday</v>
      </c>
      <c r="E197" s="2">
        <v>12024</v>
      </c>
      <c r="F197" s="2">
        <v>8.5</v>
      </c>
      <c r="G197" s="2">
        <v>8.5</v>
      </c>
      <c r="H197" s="2">
        <v>0</v>
      </c>
      <c r="I197" s="2">
        <v>2.9900000100000002</v>
      </c>
      <c r="J197" s="2">
        <v>0.10000000100000001</v>
      </c>
      <c r="K197" s="2">
        <v>5.4099998469999999</v>
      </c>
      <c r="L197" s="2">
        <v>0</v>
      </c>
      <c r="M197" s="2">
        <v>43</v>
      </c>
      <c r="N197" s="2">
        <v>5</v>
      </c>
      <c r="O197" s="2">
        <v>292</v>
      </c>
      <c r="P197" s="2">
        <v>1100</v>
      </c>
      <c r="Q197" s="2">
        <f t="shared" si="17"/>
        <v>340</v>
      </c>
      <c r="R197" s="2">
        <f t="shared" si="15"/>
        <v>1440</v>
      </c>
      <c r="S197" t="str">
        <f t="shared" si="19"/>
        <v>Highly Active</v>
      </c>
      <c r="T197" s="2">
        <v>2601</v>
      </c>
    </row>
    <row r="198" spans="1:20" x14ac:dyDescent="0.25">
      <c r="A198" s="2">
        <v>2022484408</v>
      </c>
      <c r="B198" s="3">
        <v>42474</v>
      </c>
      <c r="C198" t="str">
        <f t="shared" si="16"/>
        <v>Thursday</v>
      </c>
      <c r="D198" t="str">
        <f t="shared" si="18"/>
        <v>Weekday</v>
      </c>
      <c r="E198" s="2">
        <v>10690</v>
      </c>
      <c r="F198" s="2">
        <v>7.5</v>
      </c>
      <c r="G198" s="2">
        <v>7.5</v>
      </c>
      <c r="H198" s="2">
        <v>0</v>
      </c>
      <c r="I198" s="2">
        <v>2.4800000190000002</v>
      </c>
      <c r="J198" s="2">
        <v>0.209999993</v>
      </c>
      <c r="K198" s="2">
        <v>4.8200001720000003</v>
      </c>
      <c r="L198" s="2">
        <v>0</v>
      </c>
      <c r="M198" s="2">
        <v>32</v>
      </c>
      <c r="N198" s="2">
        <v>3</v>
      </c>
      <c r="O198" s="2">
        <v>257</v>
      </c>
      <c r="P198" s="2">
        <v>1148</v>
      </c>
      <c r="Q198" s="2">
        <f t="shared" si="17"/>
        <v>292</v>
      </c>
      <c r="R198" s="2">
        <f t="shared" si="15"/>
        <v>1440</v>
      </c>
      <c r="S198" t="str">
        <f t="shared" si="19"/>
        <v>Highly Active</v>
      </c>
      <c r="T198" s="2">
        <v>2312</v>
      </c>
    </row>
    <row r="199" spans="1:20" x14ac:dyDescent="0.25">
      <c r="A199" s="2">
        <v>2022484408</v>
      </c>
      <c r="B199" s="3">
        <v>42475</v>
      </c>
      <c r="C199" t="str">
        <f t="shared" si="16"/>
        <v>Friday</v>
      </c>
      <c r="D199" t="str">
        <f t="shared" si="18"/>
        <v>Weekday</v>
      </c>
      <c r="E199" s="2">
        <v>11034</v>
      </c>
      <c r="F199" s="2">
        <v>8.0299997330000004</v>
      </c>
      <c r="G199" s="2">
        <v>8.0299997330000004</v>
      </c>
      <c r="H199" s="2">
        <v>0</v>
      </c>
      <c r="I199" s="2">
        <v>1.940000057</v>
      </c>
      <c r="J199" s="2">
        <v>0.310000002</v>
      </c>
      <c r="K199" s="2">
        <v>5.7800002099999999</v>
      </c>
      <c r="L199" s="2">
        <v>0</v>
      </c>
      <c r="M199" s="2">
        <v>27</v>
      </c>
      <c r="N199" s="2">
        <v>9</v>
      </c>
      <c r="O199" s="2">
        <v>282</v>
      </c>
      <c r="P199" s="2">
        <v>1122</v>
      </c>
      <c r="Q199" s="2">
        <f t="shared" si="17"/>
        <v>318</v>
      </c>
      <c r="R199" s="2">
        <f t="shared" si="15"/>
        <v>1440</v>
      </c>
      <c r="S199" t="str">
        <f t="shared" si="19"/>
        <v>Highly Active</v>
      </c>
      <c r="T199" s="2">
        <v>2525</v>
      </c>
    </row>
    <row r="200" spans="1:20" x14ac:dyDescent="0.25">
      <c r="A200" s="2">
        <v>2022484408</v>
      </c>
      <c r="B200" s="3">
        <v>42476</v>
      </c>
      <c r="C200" t="str">
        <f t="shared" si="16"/>
        <v>Saturday</v>
      </c>
      <c r="D200" t="str">
        <f t="shared" si="18"/>
        <v>Weekend</v>
      </c>
      <c r="E200" s="2">
        <v>10100</v>
      </c>
      <c r="F200" s="2">
        <v>7.0900001530000001</v>
      </c>
      <c r="G200" s="2">
        <v>7.0900001530000001</v>
      </c>
      <c r="H200" s="2">
        <v>0</v>
      </c>
      <c r="I200" s="2">
        <v>3.1500000950000002</v>
      </c>
      <c r="J200" s="2">
        <v>0.55000001200000004</v>
      </c>
      <c r="K200" s="2">
        <v>3.3900001049999999</v>
      </c>
      <c r="L200" s="2">
        <v>0</v>
      </c>
      <c r="M200" s="2">
        <v>41</v>
      </c>
      <c r="N200" s="2">
        <v>11</v>
      </c>
      <c r="O200" s="2">
        <v>151</v>
      </c>
      <c r="P200" s="2">
        <v>1237</v>
      </c>
      <c r="Q200" s="2">
        <f t="shared" si="17"/>
        <v>203</v>
      </c>
      <c r="R200" s="2">
        <f t="shared" si="15"/>
        <v>1440</v>
      </c>
      <c r="S200" t="str">
        <f t="shared" si="19"/>
        <v>Highly Active</v>
      </c>
      <c r="T200" s="2">
        <v>2177</v>
      </c>
    </row>
    <row r="201" spans="1:20" x14ac:dyDescent="0.25">
      <c r="A201" s="2">
        <v>2022484408</v>
      </c>
      <c r="B201" s="3">
        <v>42477</v>
      </c>
      <c r="C201" t="str">
        <f t="shared" si="16"/>
        <v>Sunday</v>
      </c>
      <c r="D201" t="str">
        <f t="shared" si="18"/>
        <v>Weekend</v>
      </c>
      <c r="E201" s="2">
        <v>15112</v>
      </c>
      <c r="F201" s="2">
        <v>11.399999619999999</v>
      </c>
      <c r="G201" s="2">
        <v>11.399999619999999</v>
      </c>
      <c r="H201" s="2">
        <v>0</v>
      </c>
      <c r="I201" s="2">
        <v>3.869999886</v>
      </c>
      <c r="J201" s="2">
        <v>0.66000002599999996</v>
      </c>
      <c r="K201" s="2">
        <v>6.8800001139999996</v>
      </c>
      <c r="L201" s="2">
        <v>0</v>
      </c>
      <c r="M201" s="2">
        <v>28</v>
      </c>
      <c r="N201" s="2">
        <v>29</v>
      </c>
      <c r="O201" s="2">
        <v>331</v>
      </c>
      <c r="P201" s="2">
        <v>1052</v>
      </c>
      <c r="Q201" s="2">
        <f t="shared" si="17"/>
        <v>388</v>
      </c>
      <c r="R201" s="2">
        <f t="shared" si="15"/>
        <v>1440</v>
      </c>
      <c r="S201" t="str">
        <f t="shared" si="19"/>
        <v>Highly Active</v>
      </c>
      <c r="T201" s="2">
        <v>2782</v>
      </c>
    </row>
    <row r="202" spans="1:20" x14ac:dyDescent="0.25">
      <c r="A202" s="2">
        <v>2022484408</v>
      </c>
      <c r="B202" s="3">
        <v>42478</v>
      </c>
      <c r="C202" t="str">
        <f t="shared" si="16"/>
        <v>Monday</v>
      </c>
      <c r="D202" t="str">
        <f t="shared" si="18"/>
        <v>Weekday</v>
      </c>
      <c r="E202" s="2">
        <v>14131</v>
      </c>
      <c r="F202" s="2">
        <v>10.06999969</v>
      </c>
      <c r="G202" s="2">
        <v>10.06999969</v>
      </c>
      <c r="H202" s="2">
        <v>0</v>
      </c>
      <c r="I202" s="2">
        <v>3.6400001049999999</v>
      </c>
      <c r="J202" s="2">
        <v>0.119999997</v>
      </c>
      <c r="K202" s="2">
        <v>6.3000001909999996</v>
      </c>
      <c r="L202" s="2">
        <v>0</v>
      </c>
      <c r="M202" s="2">
        <v>48</v>
      </c>
      <c r="N202" s="2">
        <v>3</v>
      </c>
      <c r="O202" s="2">
        <v>311</v>
      </c>
      <c r="P202" s="2">
        <v>1078</v>
      </c>
      <c r="Q202" s="2">
        <f t="shared" si="17"/>
        <v>362</v>
      </c>
      <c r="R202" s="2">
        <f t="shared" si="15"/>
        <v>1440</v>
      </c>
      <c r="S202" t="str">
        <f t="shared" si="19"/>
        <v>Highly Active</v>
      </c>
      <c r="T202" s="2">
        <v>2770</v>
      </c>
    </row>
    <row r="203" spans="1:20" x14ac:dyDescent="0.25">
      <c r="A203" s="2">
        <v>2022484408</v>
      </c>
      <c r="B203" s="3">
        <v>42479</v>
      </c>
      <c r="C203" t="str">
        <f t="shared" si="16"/>
        <v>Tuesday</v>
      </c>
      <c r="D203" t="str">
        <f t="shared" si="18"/>
        <v>Weekday</v>
      </c>
      <c r="E203" s="2">
        <v>11548</v>
      </c>
      <c r="F203" s="2">
        <v>8.5299997330000004</v>
      </c>
      <c r="G203" s="2">
        <v>8.5299997330000004</v>
      </c>
      <c r="H203" s="2">
        <v>0</v>
      </c>
      <c r="I203" s="2">
        <v>3.289999962</v>
      </c>
      <c r="J203" s="2">
        <v>0.23999999499999999</v>
      </c>
      <c r="K203" s="2">
        <v>5</v>
      </c>
      <c r="L203" s="2">
        <v>0</v>
      </c>
      <c r="M203" s="2">
        <v>31</v>
      </c>
      <c r="N203" s="2">
        <v>7</v>
      </c>
      <c r="O203" s="2">
        <v>250</v>
      </c>
      <c r="P203" s="2">
        <v>1152</v>
      </c>
      <c r="Q203" s="2">
        <f t="shared" si="17"/>
        <v>288</v>
      </c>
      <c r="R203" s="2">
        <f t="shared" si="15"/>
        <v>1440</v>
      </c>
      <c r="S203" t="str">
        <f t="shared" si="19"/>
        <v>Highly Active</v>
      </c>
      <c r="T203" s="2">
        <v>2489</v>
      </c>
    </row>
    <row r="204" spans="1:20" x14ac:dyDescent="0.25">
      <c r="A204" s="2">
        <v>2022484408</v>
      </c>
      <c r="B204" s="3">
        <v>42480</v>
      </c>
      <c r="C204" t="str">
        <f t="shared" si="16"/>
        <v>Wednesday</v>
      </c>
      <c r="D204" t="str">
        <f t="shared" si="18"/>
        <v>Weekday</v>
      </c>
      <c r="E204" s="2">
        <v>15112</v>
      </c>
      <c r="F204" s="2">
        <v>10.670000079999999</v>
      </c>
      <c r="G204" s="2">
        <v>10.670000079999999</v>
      </c>
      <c r="H204" s="2">
        <v>0</v>
      </c>
      <c r="I204" s="2">
        <v>3.3399999139999998</v>
      </c>
      <c r="J204" s="2">
        <v>1.9299999480000001</v>
      </c>
      <c r="K204" s="2">
        <v>5.4000000950000002</v>
      </c>
      <c r="L204" s="2">
        <v>0</v>
      </c>
      <c r="M204" s="2">
        <v>48</v>
      </c>
      <c r="N204" s="2">
        <v>63</v>
      </c>
      <c r="O204" s="2">
        <v>276</v>
      </c>
      <c r="P204" s="2">
        <v>1053</v>
      </c>
      <c r="Q204" s="2">
        <f t="shared" si="17"/>
        <v>387</v>
      </c>
      <c r="R204" s="2">
        <f t="shared" si="15"/>
        <v>1440</v>
      </c>
      <c r="S204" t="str">
        <f t="shared" si="19"/>
        <v>Highly Active</v>
      </c>
      <c r="T204" s="2">
        <v>2897</v>
      </c>
    </row>
    <row r="205" spans="1:20" x14ac:dyDescent="0.25">
      <c r="A205" s="2">
        <v>2022484408</v>
      </c>
      <c r="B205" s="3">
        <v>42481</v>
      </c>
      <c r="C205" t="str">
        <f t="shared" si="16"/>
        <v>Thursday</v>
      </c>
      <c r="D205" t="str">
        <f t="shared" si="18"/>
        <v>Weekday</v>
      </c>
      <c r="E205" s="2">
        <v>12453</v>
      </c>
      <c r="F205" s="2">
        <v>8.7399997710000008</v>
      </c>
      <c r="G205" s="2">
        <v>8.7399997710000008</v>
      </c>
      <c r="H205" s="2">
        <v>0</v>
      </c>
      <c r="I205" s="2">
        <v>3.329999924</v>
      </c>
      <c r="J205" s="2">
        <v>1.1100000139999999</v>
      </c>
      <c r="K205" s="2">
        <v>4.3099999430000002</v>
      </c>
      <c r="L205" s="2">
        <v>0</v>
      </c>
      <c r="M205" s="2">
        <v>104</v>
      </c>
      <c r="N205" s="2">
        <v>53</v>
      </c>
      <c r="O205" s="2">
        <v>255</v>
      </c>
      <c r="P205" s="2">
        <v>1028</v>
      </c>
      <c r="Q205" s="2">
        <f t="shared" si="17"/>
        <v>412</v>
      </c>
      <c r="R205" s="2">
        <f t="shared" si="15"/>
        <v>1440</v>
      </c>
      <c r="S205" t="str">
        <f t="shared" si="19"/>
        <v>Highly Active</v>
      </c>
      <c r="T205" s="2">
        <v>3158</v>
      </c>
    </row>
    <row r="206" spans="1:20" x14ac:dyDescent="0.25">
      <c r="A206" s="2">
        <v>2022484408</v>
      </c>
      <c r="B206" s="3">
        <v>42482</v>
      </c>
      <c r="C206" t="str">
        <f t="shared" si="16"/>
        <v>Friday</v>
      </c>
      <c r="D206" t="str">
        <f t="shared" si="18"/>
        <v>Weekday</v>
      </c>
      <c r="E206" s="2">
        <v>12954</v>
      </c>
      <c r="F206" s="2">
        <v>9.3299999239999991</v>
      </c>
      <c r="G206" s="2">
        <v>9.3299999239999991</v>
      </c>
      <c r="H206" s="2">
        <v>0</v>
      </c>
      <c r="I206" s="2">
        <v>4.4299998279999997</v>
      </c>
      <c r="J206" s="2">
        <v>0.41999998700000002</v>
      </c>
      <c r="K206" s="2">
        <v>4.4699997900000001</v>
      </c>
      <c r="L206" s="2">
        <v>0</v>
      </c>
      <c r="M206" s="2">
        <v>52</v>
      </c>
      <c r="N206" s="2">
        <v>10</v>
      </c>
      <c r="O206" s="2">
        <v>273</v>
      </c>
      <c r="P206" s="2">
        <v>1105</v>
      </c>
      <c r="Q206" s="2">
        <f t="shared" si="17"/>
        <v>335</v>
      </c>
      <c r="R206" s="2">
        <f t="shared" si="15"/>
        <v>1440</v>
      </c>
      <c r="S206" t="str">
        <f t="shared" si="19"/>
        <v>Highly Active</v>
      </c>
      <c r="T206" s="2">
        <v>2638</v>
      </c>
    </row>
    <row r="207" spans="1:20" x14ac:dyDescent="0.25">
      <c r="A207" s="2">
        <v>2022484408</v>
      </c>
      <c r="B207" s="3">
        <v>42483</v>
      </c>
      <c r="C207" t="str">
        <f t="shared" si="16"/>
        <v>Saturday</v>
      </c>
      <c r="D207" t="str">
        <f t="shared" si="18"/>
        <v>Weekend</v>
      </c>
      <c r="E207" s="2">
        <v>6001</v>
      </c>
      <c r="F207" s="2">
        <v>4.2100000380000004</v>
      </c>
      <c r="G207" s="2">
        <v>4.2100000380000004</v>
      </c>
      <c r="H207" s="2">
        <v>0</v>
      </c>
      <c r="I207" s="2">
        <v>0</v>
      </c>
      <c r="J207" s="2">
        <v>0</v>
      </c>
      <c r="K207" s="2">
        <v>4.2100000380000004</v>
      </c>
      <c r="L207" s="2">
        <v>0</v>
      </c>
      <c r="M207" s="2">
        <v>0</v>
      </c>
      <c r="N207" s="2">
        <v>0</v>
      </c>
      <c r="O207" s="2">
        <v>249</v>
      </c>
      <c r="P207" s="2">
        <v>1191</v>
      </c>
      <c r="Q207" s="2">
        <f t="shared" si="17"/>
        <v>249</v>
      </c>
      <c r="R207" s="2">
        <f t="shared" si="15"/>
        <v>1440</v>
      </c>
      <c r="S207" t="str">
        <f t="shared" si="19"/>
        <v>Lightly Active</v>
      </c>
      <c r="T207" s="2">
        <v>2069</v>
      </c>
    </row>
    <row r="208" spans="1:20" x14ac:dyDescent="0.25">
      <c r="A208" s="2">
        <v>2022484408</v>
      </c>
      <c r="B208" s="3">
        <v>42484</v>
      </c>
      <c r="C208" t="str">
        <f t="shared" si="16"/>
        <v>Sunday</v>
      </c>
      <c r="D208" t="str">
        <f t="shared" si="18"/>
        <v>Weekend</v>
      </c>
      <c r="E208" s="2">
        <v>13481</v>
      </c>
      <c r="F208" s="2">
        <v>10.27999973</v>
      </c>
      <c r="G208" s="2">
        <v>10.27999973</v>
      </c>
      <c r="H208" s="2">
        <v>0</v>
      </c>
      <c r="I208" s="2">
        <v>4.5500001909999996</v>
      </c>
      <c r="J208" s="2">
        <v>1.1499999759999999</v>
      </c>
      <c r="K208" s="2">
        <v>4.579999924</v>
      </c>
      <c r="L208" s="2">
        <v>0</v>
      </c>
      <c r="M208" s="2">
        <v>37</v>
      </c>
      <c r="N208" s="2">
        <v>26</v>
      </c>
      <c r="O208" s="2">
        <v>216</v>
      </c>
      <c r="P208" s="2">
        <v>1161</v>
      </c>
      <c r="Q208" s="2">
        <f t="shared" si="17"/>
        <v>279</v>
      </c>
      <c r="R208" s="2">
        <f t="shared" si="15"/>
        <v>1440</v>
      </c>
      <c r="S208" t="str">
        <f t="shared" si="19"/>
        <v>Highly Active</v>
      </c>
      <c r="T208" s="2">
        <v>2529</v>
      </c>
    </row>
    <row r="209" spans="1:20" x14ac:dyDescent="0.25">
      <c r="A209" s="2">
        <v>2022484408</v>
      </c>
      <c r="B209" s="3">
        <v>42485</v>
      </c>
      <c r="C209" t="str">
        <f t="shared" si="16"/>
        <v>Monday</v>
      </c>
      <c r="D209" t="str">
        <f t="shared" si="18"/>
        <v>Weekday</v>
      </c>
      <c r="E209" s="2">
        <v>11369</v>
      </c>
      <c r="F209" s="2">
        <v>8.0100002289999992</v>
      </c>
      <c r="G209" s="2">
        <v>8.0100002289999992</v>
      </c>
      <c r="H209" s="2">
        <v>0</v>
      </c>
      <c r="I209" s="2">
        <v>3.329999924</v>
      </c>
      <c r="J209" s="2">
        <v>0.219999999</v>
      </c>
      <c r="K209" s="2">
        <v>4.4600000380000004</v>
      </c>
      <c r="L209" s="2">
        <v>0</v>
      </c>
      <c r="M209" s="2">
        <v>44</v>
      </c>
      <c r="N209" s="2">
        <v>8</v>
      </c>
      <c r="O209" s="2">
        <v>217</v>
      </c>
      <c r="P209" s="2">
        <v>1171</v>
      </c>
      <c r="Q209" s="2">
        <f t="shared" si="17"/>
        <v>269</v>
      </c>
      <c r="R209" s="2">
        <f t="shared" si="15"/>
        <v>1440</v>
      </c>
      <c r="S209" t="str">
        <f t="shared" si="19"/>
        <v>Highly Active</v>
      </c>
      <c r="T209" s="2">
        <v>2470</v>
      </c>
    </row>
    <row r="210" spans="1:20" x14ac:dyDescent="0.25">
      <c r="A210" s="2">
        <v>2022484408</v>
      </c>
      <c r="B210" s="3">
        <v>42486</v>
      </c>
      <c r="C210" t="str">
        <f t="shared" si="16"/>
        <v>Tuesday</v>
      </c>
      <c r="D210" t="str">
        <f t="shared" si="18"/>
        <v>Weekday</v>
      </c>
      <c r="E210" s="2">
        <v>10119</v>
      </c>
      <c r="F210" s="2">
        <v>7.1900000569999998</v>
      </c>
      <c r="G210" s="2">
        <v>7.1900000569999998</v>
      </c>
      <c r="H210" s="2">
        <v>0</v>
      </c>
      <c r="I210" s="2">
        <v>1.4299999480000001</v>
      </c>
      <c r="J210" s="2">
        <v>0.66000002599999996</v>
      </c>
      <c r="K210" s="2">
        <v>5.1100001339999999</v>
      </c>
      <c r="L210" s="2">
        <v>0</v>
      </c>
      <c r="M210" s="2">
        <v>55</v>
      </c>
      <c r="N210" s="2">
        <v>24</v>
      </c>
      <c r="O210" s="2">
        <v>275</v>
      </c>
      <c r="P210" s="2">
        <v>1086</v>
      </c>
      <c r="Q210" s="2">
        <f t="shared" si="17"/>
        <v>354</v>
      </c>
      <c r="R210" s="2">
        <f t="shared" si="15"/>
        <v>1440</v>
      </c>
      <c r="S210" t="str">
        <f t="shared" si="19"/>
        <v>Highly Active</v>
      </c>
      <c r="T210" s="2">
        <v>2793</v>
      </c>
    </row>
    <row r="211" spans="1:20" x14ac:dyDescent="0.25">
      <c r="A211" s="2">
        <v>2022484408</v>
      </c>
      <c r="B211" s="3">
        <v>42487</v>
      </c>
      <c r="C211" t="str">
        <f t="shared" si="16"/>
        <v>Wednesday</v>
      </c>
      <c r="D211" t="str">
        <f t="shared" si="18"/>
        <v>Weekday</v>
      </c>
      <c r="E211" s="2">
        <v>10159</v>
      </c>
      <c r="F211" s="2">
        <v>7.1300001139999996</v>
      </c>
      <c r="G211" s="2">
        <v>7.1300001139999996</v>
      </c>
      <c r="H211" s="2">
        <v>0</v>
      </c>
      <c r="I211" s="2">
        <v>1.039999962</v>
      </c>
      <c r="J211" s="2">
        <v>0.97000002900000004</v>
      </c>
      <c r="K211" s="2">
        <v>5.1199998860000004</v>
      </c>
      <c r="L211" s="2">
        <v>0</v>
      </c>
      <c r="M211" s="2">
        <v>19</v>
      </c>
      <c r="N211" s="2">
        <v>20</v>
      </c>
      <c r="O211" s="2">
        <v>282</v>
      </c>
      <c r="P211" s="2">
        <v>1119</v>
      </c>
      <c r="Q211" s="2">
        <f t="shared" si="17"/>
        <v>321</v>
      </c>
      <c r="R211" s="2">
        <f t="shared" si="15"/>
        <v>1440</v>
      </c>
      <c r="S211" t="str">
        <f t="shared" si="19"/>
        <v>Highly Active</v>
      </c>
      <c r="T211" s="2">
        <v>2463</v>
      </c>
    </row>
    <row r="212" spans="1:20" x14ac:dyDescent="0.25">
      <c r="A212" s="2">
        <v>2022484408</v>
      </c>
      <c r="B212" s="3">
        <v>42488</v>
      </c>
      <c r="C212" t="str">
        <f t="shared" si="16"/>
        <v>Thursday</v>
      </c>
      <c r="D212" t="str">
        <f t="shared" si="18"/>
        <v>Weekday</v>
      </c>
      <c r="E212" s="2">
        <v>10140</v>
      </c>
      <c r="F212" s="2">
        <v>7.1199998860000004</v>
      </c>
      <c r="G212" s="2">
        <v>7.1199998860000004</v>
      </c>
      <c r="H212" s="2">
        <v>0</v>
      </c>
      <c r="I212" s="2">
        <v>0.40999999599999998</v>
      </c>
      <c r="J212" s="2">
        <v>1.3300000430000001</v>
      </c>
      <c r="K212" s="2">
        <v>5.3899998660000001</v>
      </c>
      <c r="L212" s="2">
        <v>0</v>
      </c>
      <c r="M212" s="2">
        <v>6</v>
      </c>
      <c r="N212" s="2">
        <v>20</v>
      </c>
      <c r="O212" s="2">
        <v>291</v>
      </c>
      <c r="P212" s="2">
        <v>1123</v>
      </c>
      <c r="Q212" s="2">
        <f t="shared" si="17"/>
        <v>317</v>
      </c>
      <c r="R212" s="2">
        <f t="shared" si="15"/>
        <v>1440</v>
      </c>
      <c r="S212" t="str">
        <f t="shared" si="19"/>
        <v>Highly Active</v>
      </c>
      <c r="T212" s="2">
        <v>2296</v>
      </c>
    </row>
    <row r="213" spans="1:20" x14ac:dyDescent="0.25">
      <c r="A213" s="2">
        <v>2022484408</v>
      </c>
      <c r="B213" s="3">
        <v>42489</v>
      </c>
      <c r="C213" t="str">
        <f t="shared" si="16"/>
        <v>Friday</v>
      </c>
      <c r="D213" t="str">
        <f t="shared" si="18"/>
        <v>Weekday</v>
      </c>
      <c r="E213" s="2">
        <v>10245</v>
      </c>
      <c r="F213" s="2">
        <v>7.1900000569999998</v>
      </c>
      <c r="G213" s="2">
        <v>7.1900000569999998</v>
      </c>
      <c r="H213" s="2">
        <v>0</v>
      </c>
      <c r="I213" s="2">
        <v>0.47999998900000002</v>
      </c>
      <c r="J213" s="2">
        <v>1.210000038</v>
      </c>
      <c r="K213" s="2">
        <v>5.5</v>
      </c>
      <c r="L213" s="2">
        <v>0</v>
      </c>
      <c r="M213" s="2">
        <v>21</v>
      </c>
      <c r="N213" s="2">
        <v>40</v>
      </c>
      <c r="O213" s="2">
        <v>281</v>
      </c>
      <c r="P213" s="2">
        <v>1098</v>
      </c>
      <c r="Q213" s="2">
        <f t="shared" si="17"/>
        <v>342</v>
      </c>
      <c r="R213" s="2">
        <f t="shared" si="15"/>
        <v>1440</v>
      </c>
      <c r="S213" t="str">
        <f t="shared" si="19"/>
        <v>Highly Active</v>
      </c>
      <c r="T213" s="2">
        <v>2611</v>
      </c>
    </row>
    <row r="214" spans="1:20" x14ac:dyDescent="0.25">
      <c r="A214" s="2">
        <v>2022484408</v>
      </c>
      <c r="B214" s="3">
        <v>42490</v>
      </c>
      <c r="C214" t="str">
        <f t="shared" si="16"/>
        <v>Saturday</v>
      </c>
      <c r="D214" t="str">
        <f t="shared" si="18"/>
        <v>Weekend</v>
      </c>
      <c r="E214" s="2">
        <v>18387</v>
      </c>
      <c r="F214" s="2">
        <v>12.90999985</v>
      </c>
      <c r="G214" s="2">
        <v>12.90999985</v>
      </c>
      <c r="H214" s="2">
        <v>0</v>
      </c>
      <c r="I214" s="2">
        <v>0.939999998</v>
      </c>
      <c r="J214" s="2">
        <v>1.3999999759999999</v>
      </c>
      <c r="K214" s="2">
        <v>10.56999969</v>
      </c>
      <c r="L214" s="2">
        <v>0</v>
      </c>
      <c r="M214" s="2">
        <v>13</v>
      </c>
      <c r="N214" s="2">
        <v>23</v>
      </c>
      <c r="O214" s="2">
        <v>361</v>
      </c>
      <c r="P214" s="2">
        <v>1043</v>
      </c>
      <c r="Q214" s="2">
        <f t="shared" si="17"/>
        <v>397</v>
      </c>
      <c r="R214" s="2">
        <f t="shared" si="15"/>
        <v>1440</v>
      </c>
      <c r="S214" t="str">
        <f t="shared" si="19"/>
        <v>Highly Active</v>
      </c>
      <c r="T214" s="2">
        <v>2732</v>
      </c>
    </row>
    <row r="215" spans="1:20" x14ac:dyDescent="0.25">
      <c r="A215" s="2">
        <v>2022484408</v>
      </c>
      <c r="B215" s="3">
        <v>42491</v>
      </c>
      <c r="C215" t="str">
        <f t="shared" si="16"/>
        <v>Sunday</v>
      </c>
      <c r="D215" t="str">
        <f t="shared" si="18"/>
        <v>Weekend</v>
      </c>
      <c r="E215" s="2">
        <v>10538</v>
      </c>
      <c r="F215" s="2">
        <v>7.4000000950000002</v>
      </c>
      <c r="G215" s="2">
        <v>7.4000000950000002</v>
      </c>
      <c r="H215" s="2">
        <v>0</v>
      </c>
      <c r="I215" s="2">
        <v>1.940000057</v>
      </c>
      <c r="J215" s="2">
        <v>0.959999979</v>
      </c>
      <c r="K215" s="2">
        <v>4.5</v>
      </c>
      <c r="L215" s="2">
        <v>0</v>
      </c>
      <c r="M215" s="2">
        <v>25</v>
      </c>
      <c r="N215" s="2">
        <v>28</v>
      </c>
      <c r="O215" s="2">
        <v>245</v>
      </c>
      <c r="P215" s="2">
        <v>1142</v>
      </c>
      <c r="Q215" s="2">
        <f t="shared" si="17"/>
        <v>298</v>
      </c>
      <c r="R215" s="2">
        <f t="shared" si="15"/>
        <v>1440</v>
      </c>
      <c r="S215" t="str">
        <f t="shared" si="19"/>
        <v>Highly Active</v>
      </c>
      <c r="T215" s="2">
        <v>2380</v>
      </c>
    </row>
    <row r="216" spans="1:20" x14ac:dyDescent="0.25">
      <c r="A216" s="2">
        <v>2022484408</v>
      </c>
      <c r="B216" s="3">
        <v>42492</v>
      </c>
      <c r="C216" t="str">
        <f t="shared" si="16"/>
        <v>Monday</v>
      </c>
      <c r="D216" t="str">
        <f t="shared" si="18"/>
        <v>Weekday</v>
      </c>
      <c r="E216" s="2">
        <v>10379</v>
      </c>
      <c r="F216" s="2">
        <v>7.2899999619999996</v>
      </c>
      <c r="G216" s="2">
        <v>7.2899999619999996</v>
      </c>
      <c r="H216" s="2">
        <v>0</v>
      </c>
      <c r="I216" s="2">
        <v>2.6099998950000001</v>
      </c>
      <c r="J216" s="2">
        <v>0.34000000400000002</v>
      </c>
      <c r="K216" s="2">
        <v>4.329999924</v>
      </c>
      <c r="L216" s="2">
        <v>0</v>
      </c>
      <c r="M216" s="2">
        <v>36</v>
      </c>
      <c r="N216" s="2">
        <v>8</v>
      </c>
      <c r="O216" s="2">
        <v>277</v>
      </c>
      <c r="P216" s="2">
        <v>1119</v>
      </c>
      <c r="Q216" s="2">
        <f t="shared" si="17"/>
        <v>321</v>
      </c>
      <c r="R216" s="2">
        <f t="shared" si="15"/>
        <v>1440</v>
      </c>
      <c r="S216" t="str">
        <f t="shared" si="19"/>
        <v>Highly Active</v>
      </c>
      <c r="T216" s="2">
        <v>2473</v>
      </c>
    </row>
    <row r="217" spans="1:20" x14ac:dyDescent="0.25">
      <c r="A217" s="2">
        <v>2022484408</v>
      </c>
      <c r="B217" s="3">
        <v>42493</v>
      </c>
      <c r="C217" t="str">
        <f t="shared" si="16"/>
        <v>Tuesday</v>
      </c>
      <c r="D217" t="str">
        <f t="shared" si="18"/>
        <v>Weekday</v>
      </c>
      <c r="E217" s="2">
        <v>12183</v>
      </c>
      <c r="F217" s="2">
        <v>8.7399997710000008</v>
      </c>
      <c r="G217" s="2">
        <v>8.7399997710000008</v>
      </c>
      <c r="H217" s="2">
        <v>0</v>
      </c>
      <c r="I217" s="2">
        <v>3.9900000100000002</v>
      </c>
      <c r="J217" s="2">
        <v>0.46000000800000002</v>
      </c>
      <c r="K217" s="2">
        <v>4.2800002099999999</v>
      </c>
      <c r="L217" s="2">
        <v>0</v>
      </c>
      <c r="M217" s="2">
        <v>72</v>
      </c>
      <c r="N217" s="2">
        <v>14</v>
      </c>
      <c r="O217" s="2">
        <v>250</v>
      </c>
      <c r="P217" s="2">
        <v>1104</v>
      </c>
      <c r="Q217" s="2">
        <f t="shared" si="17"/>
        <v>336</v>
      </c>
      <c r="R217" s="2">
        <f t="shared" si="15"/>
        <v>1440</v>
      </c>
      <c r="S217" t="str">
        <f t="shared" si="19"/>
        <v>Highly Active</v>
      </c>
      <c r="T217" s="2">
        <v>2752</v>
      </c>
    </row>
    <row r="218" spans="1:20" x14ac:dyDescent="0.25">
      <c r="A218" s="2">
        <v>2022484408</v>
      </c>
      <c r="B218" s="3">
        <v>42494</v>
      </c>
      <c r="C218" t="str">
        <f t="shared" si="16"/>
        <v>Wednesday</v>
      </c>
      <c r="D218" t="str">
        <f t="shared" si="18"/>
        <v>Weekday</v>
      </c>
      <c r="E218" s="2">
        <v>11768</v>
      </c>
      <c r="F218" s="2">
        <v>8.2899999619999996</v>
      </c>
      <c r="G218" s="2">
        <v>8.2899999619999996</v>
      </c>
      <c r="H218" s="2">
        <v>0</v>
      </c>
      <c r="I218" s="2">
        <v>2.5099999899999998</v>
      </c>
      <c r="J218" s="2">
        <v>0.93000000699999996</v>
      </c>
      <c r="K218" s="2">
        <v>4.8499999049999998</v>
      </c>
      <c r="L218" s="2">
        <v>0</v>
      </c>
      <c r="M218" s="2">
        <v>36</v>
      </c>
      <c r="N218" s="2">
        <v>27</v>
      </c>
      <c r="O218" s="2">
        <v>272</v>
      </c>
      <c r="P218" s="2">
        <v>1105</v>
      </c>
      <c r="Q218" s="2">
        <f t="shared" si="17"/>
        <v>335</v>
      </c>
      <c r="R218" s="2">
        <f t="shared" si="15"/>
        <v>1440</v>
      </c>
      <c r="S218" t="str">
        <f t="shared" si="19"/>
        <v>Highly Active</v>
      </c>
      <c r="T218" s="2">
        <v>2649</v>
      </c>
    </row>
    <row r="219" spans="1:20" x14ac:dyDescent="0.25">
      <c r="A219" s="2">
        <v>2022484408</v>
      </c>
      <c r="B219" s="3">
        <v>42495</v>
      </c>
      <c r="C219" t="str">
        <f t="shared" si="16"/>
        <v>Thursday</v>
      </c>
      <c r="D219" t="str">
        <f t="shared" si="18"/>
        <v>Weekday</v>
      </c>
      <c r="E219" s="2">
        <v>11895</v>
      </c>
      <c r="F219" s="2">
        <v>8.3500003809999992</v>
      </c>
      <c r="G219" s="2">
        <v>8.3500003809999992</v>
      </c>
      <c r="H219" s="2">
        <v>0</v>
      </c>
      <c r="I219" s="2">
        <v>2.789999962</v>
      </c>
      <c r="J219" s="2">
        <v>0.86000001400000003</v>
      </c>
      <c r="K219" s="2">
        <v>4.6999998090000004</v>
      </c>
      <c r="L219" s="2">
        <v>0</v>
      </c>
      <c r="M219" s="2">
        <v>55</v>
      </c>
      <c r="N219" s="2">
        <v>20</v>
      </c>
      <c r="O219" s="2">
        <v>253</v>
      </c>
      <c r="P219" s="2">
        <v>1112</v>
      </c>
      <c r="Q219" s="2">
        <f t="shared" si="17"/>
        <v>328</v>
      </c>
      <c r="R219" s="2">
        <f t="shared" si="15"/>
        <v>1440</v>
      </c>
      <c r="S219" t="str">
        <f t="shared" si="19"/>
        <v>Highly Active</v>
      </c>
      <c r="T219" s="2">
        <v>2609</v>
      </c>
    </row>
    <row r="220" spans="1:20" x14ac:dyDescent="0.25">
      <c r="A220" s="2">
        <v>2022484408</v>
      </c>
      <c r="B220" s="3">
        <v>42496</v>
      </c>
      <c r="C220" t="str">
        <f t="shared" si="16"/>
        <v>Friday</v>
      </c>
      <c r="D220" t="str">
        <f t="shared" si="18"/>
        <v>Weekday</v>
      </c>
      <c r="E220" s="2">
        <v>10227</v>
      </c>
      <c r="F220" s="2">
        <v>7.1799998279999997</v>
      </c>
      <c r="G220" s="2">
        <v>7.1799998279999997</v>
      </c>
      <c r="H220" s="2">
        <v>0</v>
      </c>
      <c r="I220" s="2">
        <v>1.8700000050000001</v>
      </c>
      <c r="J220" s="2">
        <v>0.670000017</v>
      </c>
      <c r="K220" s="2">
        <v>4.6399998660000001</v>
      </c>
      <c r="L220" s="2">
        <v>0</v>
      </c>
      <c r="M220" s="2">
        <v>24</v>
      </c>
      <c r="N220" s="2">
        <v>17</v>
      </c>
      <c r="O220" s="2">
        <v>295</v>
      </c>
      <c r="P220" s="2">
        <v>1104</v>
      </c>
      <c r="Q220" s="2">
        <f t="shared" si="17"/>
        <v>336</v>
      </c>
      <c r="R220" s="2">
        <f t="shared" si="15"/>
        <v>1440</v>
      </c>
      <c r="S220" t="str">
        <f t="shared" si="19"/>
        <v>Highly Active</v>
      </c>
      <c r="T220" s="2">
        <v>2498</v>
      </c>
    </row>
    <row r="221" spans="1:20" x14ac:dyDescent="0.25">
      <c r="A221" s="2">
        <v>2022484408</v>
      </c>
      <c r="B221" s="3">
        <v>42497</v>
      </c>
      <c r="C221" t="str">
        <f t="shared" si="16"/>
        <v>Saturday</v>
      </c>
      <c r="D221" t="str">
        <f t="shared" si="18"/>
        <v>Weekend</v>
      </c>
      <c r="E221" s="2">
        <v>6708</v>
      </c>
      <c r="F221" s="2">
        <v>4.7100000380000004</v>
      </c>
      <c r="G221" s="2">
        <v>4.7100000380000004</v>
      </c>
      <c r="H221" s="2">
        <v>0</v>
      </c>
      <c r="I221" s="2">
        <v>1.6100000139999999</v>
      </c>
      <c r="J221" s="2">
        <v>7.9999998000000003E-2</v>
      </c>
      <c r="K221" s="2">
        <v>3.0199999809999998</v>
      </c>
      <c r="L221" s="2">
        <v>0</v>
      </c>
      <c r="M221" s="2">
        <v>20</v>
      </c>
      <c r="N221" s="2">
        <v>2</v>
      </c>
      <c r="O221" s="2">
        <v>149</v>
      </c>
      <c r="P221" s="2">
        <v>1269</v>
      </c>
      <c r="Q221" s="2">
        <f t="shared" si="17"/>
        <v>171</v>
      </c>
      <c r="R221" s="2">
        <f t="shared" si="15"/>
        <v>1440</v>
      </c>
      <c r="S221" t="str">
        <f t="shared" si="19"/>
        <v>Lightly Active</v>
      </c>
      <c r="T221" s="2">
        <v>1995</v>
      </c>
    </row>
    <row r="222" spans="1:20" x14ac:dyDescent="0.25">
      <c r="A222" s="2">
        <v>2022484408</v>
      </c>
      <c r="B222" s="3">
        <v>42498</v>
      </c>
      <c r="C222" t="str">
        <f t="shared" si="16"/>
        <v>Sunday</v>
      </c>
      <c r="D222" t="str">
        <f t="shared" si="18"/>
        <v>Weekend</v>
      </c>
      <c r="E222" s="2">
        <v>3292</v>
      </c>
      <c r="F222" s="2">
        <v>2.3099999430000002</v>
      </c>
      <c r="G222" s="2">
        <v>2.3099999430000002</v>
      </c>
      <c r="H222" s="2">
        <v>0</v>
      </c>
      <c r="I222" s="2">
        <v>0</v>
      </c>
      <c r="J222" s="2">
        <v>0</v>
      </c>
      <c r="K222" s="2">
        <v>2.3099999430000002</v>
      </c>
      <c r="L222" s="2">
        <v>0</v>
      </c>
      <c r="M222" s="2">
        <v>0</v>
      </c>
      <c r="N222" s="2">
        <v>0</v>
      </c>
      <c r="O222" s="2">
        <v>135</v>
      </c>
      <c r="P222" s="2">
        <v>1305</v>
      </c>
      <c r="Q222" s="2">
        <f t="shared" si="17"/>
        <v>135</v>
      </c>
      <c r="R222" s="2">
        <f t="shared" si="15"/>
        <v>1440</v>
      </c>
      <c r="S222" t="str">
        <f t="shared" si="19"/>
        <v>Sedentary</v>
      </c>
      <c r="T222" s="2">
        <v>1848</v>
      </c>
    </row>
    <row r="223" spans="1:20" x14ac:dyDescent="0.25">
      <c r="A223" s="2">
        <v>2022484408</v>
      </c>
      <c r="B223" s="3">
        <v>42499</v>
      </c>
      <c r="C223" t="str">
        <f t="shared" si="16"/>
        <v>Monday</v>
      </c>
      <c r="D223" t="str">
        <f t="shared" si="18"/>
        <v>Weekday</v>
      </c>
      <c r="E223" s="2">
        <v>13379</v>
      </c>
      <c r="F223" s="2">
        <v>9.3900003430000005</v>
      </c>
      <c r="G223" s="2">
        <v>9.3900003430000005</v>
      </c>
      <c r="H223" s="2">
        <v>0</v>
      </c>
      <c r="I223" s="2">
        <v>2.119999886</v>
      </c>
      <c r="J223" s="2">
        <v>1.6299999949999999</v>
      </c>
      <c r="K223" s="2">
        <v>5.6399998660000001</v>
      </c>
      <c r="L223" s="2">
        <v>0</v>
      </c>
      <c r="M223" s="2">
        <v>35</v>
      </c>
      <c r="N223" s="2">
        <v>47</v>
      </c>
      <c r="O223" s="2">
        <v>297</v>
      </c>
      <c r="P223" s="2">
        <v>1061</v>
      </c>
      <c r="Q223" s="2">
        <f t="shared" si="17"/>
        <v>379</v>
      </c>
      <c r="R223" s="2">
        <f t="shared" si="15"/>
        <v>1440</v>
      </c>
      <c r="S223" t="str">
        <f t="shared" si="19"/>
        <v>Highly Active</v>
      </c>
      <c r="T223" s="2">
        <v>2709</v>
      </c>
    </row>
    <row r="224" spans="1:20" x14ac:dyDescent="0.25">
      <c r="A224" s="2">
        <v>2022484408</v>
      </c>
      <c r="B224" s="3">
        <v>42500</v>
      </c>
      <c r="C224" t="str">
        <f t="shared" si="16"/>
        <v>Tuesday</v>
      </c>
      <c r="D224" t="str">
        <f t="shared" si="18"/>
        <v>Weekday</v>
      </c>
      <c r="E224" s="2">
        <v>12798</v>
      </c>
      <c r="F224" s="2">
        <v>8.9799995419999998</v>
      </c>
      <c r="G224" s="2">
        <v>8.9799995419999998</v>
      </c>
      <c r="H224" s="2">
        <v>0</v>
      </c>
      <c r="I224" s="2">
        <v>2.2200000289999999</v>
      </c>
      <c r="J224" s="2">
        <v>1.210000038</v>
      </c>
      <c r="K224" s="2">
        <v>5.5599999430000002</v>
      </c>
      <c r="L224" s="2">
        <v>0</v>
      </c>
      <c r="M224" s="2">
        <v>57</v>
      </c>
      <c r="N224" s="2">
        <v>28</v>
      </c>
      <c r="O224" s="2">
        <v>271</v>
      </c>
      <c r="P224" s="2">
        <v>1084</v>
      </c>
      <c r="Q224" s="2">
        <f t="shared" si="17"/>
        <v>356</v>
      </c>
      <c r="R224" s="2">
        <f t="shared" si="15"/>
        <v>1440</v>
      </c>
      <c r="S224" t="str">
        <f t="shared" si="19"/>
        <v>Highly Active</v>
      </c>
      <c r="T224" s="2">
        <v>2797</v>
      </c>
    </row>
    <row r="225" spans="1:20" x14ac:dyDescent="0.25">
      <c r="A225" s="2">
        <v>2022484408</v>
      </c>
      <c r="B225" s="3">
        <v>42501</v>
      </c>
      <c r="C225" t="str">
        <f t="shared" si="16"/>
        <v>Wednesday</v>
      </c>
      <c r="D225" t="str">
        <f t="shared" si="18"/>
        <v>Weekday</v>
      </c>
      <c r="E225" s="2">
        <v>13272</v>
      </c>
      <c r="F225" s="2">
        <v>9.3199996949999999</v>
      </c>
      <c r="G225" s="2">
        <v>9.3199996949999999</v>
      </c>
      <c r="H225" s="2">
        <v>0</v>
      </c>
      <c r="I225" s="2">
        <v>4.1799998279999997</v>
      </c>
      <c r="J225" s="2">
        <v>1.1499999759999999</v>
      </c>
      <c r="K225" s="2">
        <v>3.9900000100000002</v>
      </c>
      <c r="L225" s="2">
        <v>0</v>
      </c>
      <c r="M225" s="2">
        <v>58</v>
      </c>
      <c r="N225" s="2">
        <v>25</v>
      </c>
      <c r="O225" s="2">
        <v>224</v>
      </c>
      <c r="P225" s="2">
        <v>1133</v>
      </c>
      <c r="Q225" s="2">
        <f t="shared" si="17"/>
        <v>307</v>
      </c>
      <c r="R225" s="2">
        <f t="shared" si="15"/>
        <v>1440</v>
      </c>
      <c r="S225" t="str">
        <f t="shared" si="19"/>
        <v>Highly Active</v>
      </c>
      <c r="T225" s="2">
        <v>2544</v>
      </c>
    </row>
    <row r="226" spans="1:20" x14ac:dyDescent="0.25">
      <c r="A226" s="2">
        <v>2022484408</v>
      </c>
      <c r="B226" s="3">
        <v>42502</v>
      </c>
      <c r="C226" t="str">
        <f t="shared" si="16"/>
        <v>Thursday</v>
      </c>
      <c r="D226" t="str">
        <f t="shared" si="18"/>
        <v>Weekday</v>
      </c>
      <c r="E226" s="2">
        <v>9117</v>
      </c>
      <c r="F226" s="2">
        <v>6.4099998469999999</v>
      </c>
      <c r="G226" s="2">
        <v>6.4099998469999999</v>
      </c>
      <c r="H226" s="2">
        <v>0</v>
      </c>
      <c r="I226" s="2">
        <v>1.2799999710000001</v>
      </c>
      <c r="J226" s="2">
        <v>0.670000017</v>
      </c>
      <c r="K226" s="2">
        <v>4.4400000569999998</v>
      </c>
      <c r="L226" s="2">
        <v>0</v>
      </c>
      <c r="M226" s="2">
        <v>16</v>
      </c>
      <c r="N226" s="2">
        <v>16</v>
      </c>
      <c r="O226" s="2">
        <v>236</v>
      </c>
      <c r="P226" s="2">
        <v>728</v>
      </c>
      <c r="Q226" s="2">
        <f t="shared" si="17"/>
        <v>268</v>
      </c>
      <c r="R226" s="2">
        <f t="shared" si="15"/>
        <v>996</v>
      </c>
      <c r="S226" t="str">
        <f t="shared" si="19"/>
        <v>Fairly Active</v>
      </c>
      <c r="T226" s="2">
        <v>1853</v>
      </c>
    </row>
    <row r="227" spans="1:20" x14ac:dyDescent="0.25">
      <c r="A227" s="2">
        <v>2026352035</v>
      </c>
      <c r="B227" s="3">
        <v>42461</v>
      </c>
      <c r="C227" t="str">
        <f t="shared" si="16"/>
        <v>Friday</v>
      </c>
      <c r="D227" t="str">
        <f t="shared" si="18"/>
        <v>Weekday</v>
      </c>
      <c r="E227" s="2">
        <v>2605</v>
      </c>
      <c r="F227" s="2">
        <v>1.6200000050000001</v>
      </c>
      <c r="G227" s="2">
        <v>1.6200000050000001</v>
      </c>
      <c r="H227" s="2">
        <v>0</v>
      </c>
      <c r="I227" s="2">
        <v>0</v>
      </c>
      <c r="J227" s="2">
        <v>0</v>
      </c>
      <c r="K227" s="2">
        <v>1.6200000050000001</v>
      </c>
      <c r="L227" s="2">
        <v>0</v>
      </c>
      <c r="M227" s="2">
        <v>0</v>
      </c>
      <c r="N227" s="2">
        <v>0</v>
      </c>
      <c r="O227" s="2">
        <v>166</v>
      </c>
      <c r="P227" s="2">
        <v>729</v>
      </c>
      <c r="Q227" s="2">
        <f t="shared" si="17"/>
        <v>166</v>
      </c>
      <c r="R227" s="2">
        <f t="shared" si="15"/>
        <v>895</v>
      </c>
      <c r="S227" t="str">
        <f t="shared" si="19"/>
        <v>Sedentary</v>
      </c>
      <c r="T227" s="2">
        <v>1407</v>
      </c>
    </row>
    <row r="228" spans="1:20" x14ac:dyDescent="0.25">
      <c r="A228" s="2">
        <v>2026352035</v>
      </c>
      <c r="B228" s="3">
        <v>42462</v>
      </c>
      <c r="C228" t="str">
        <f t="shared" si="16"/>
        <v>Saturday</v>
      </c>
      <c r="D228" t="str">
        <f t="shared" si="18"/>
        <v>Weekend</v>
      </c>
      <c r="E228" s="2">
        <v>1229</v>
      </c>
      <c r="F228" s="2">
        <v>0.75999998999999996</v>
      </c>
      <c r="G228" s="2">
        <v>0.75999998999999996</v>
      </c>
      <c r="H228" s="2">
        <v>0</v>
      </c>
      <c r="I228" s="2">
        <v>0</v>
      </c>
      <c r="J228" s="2">
        <v>0</v>
      </c>
      <c r="K228" s="2">
        <v>0.75999998999999996</v>
      </c>
      <c r="L228" s="2">
        <v>0</v>
      </c>
      <c r="M228" s="2">
        <v>0</v>
      </c>
      <c r="N228" s="2">
        <v>0</v>
      </c>
      <c r="O228" s="2">
        <v>69</v>
      </c>
      <c r="P228" s="2">
        <v>795</v>
      </c>
      <c r="Q228" s="2">
        <f t="shared" si="17"/>
        <v>69</v>
      </c>
      <c r="R228" s="2">
        <f t="shared" si="15"/>
        <v>864</v>
      </c>
      <c r="S228" t="str">
        <f t="shared" si="19"/>
        <v>Sedentary</v>
      </c>
      <c r="T228" s="2">
        <v>1237</v>
      </c>
    </row>
    <row r="229" spans="1:20" x14ac:dyDescent="0.25">
      <c r="A229" s="2">
        <v>2026352035</v>
      </c>
      <c r="B229" s="3">
        <v>42463</v>
      </c>
      <c r="C229" t="str">
        <f t="shared" si="16"/>
        <v>Sunday</v>
      </c>
      <c r="D229" t="str">
        <f t="shared" si="18"/>
        <v>Weekend</v>
      </c>
      <c r="E229" s="2">
        <v>2308</v>
      </c>
      <c r="F229" s="2">
        <v>1.4299999480000001</v>
      </c>
      <c r="G229" s="2">
        <v>1.4299999480000001</v>
      </c>
      <c r="H229" s="2">
        <v>0</v>
      </c>
      <c r="I229" s="2">
        <v>0</v>
      </c>
      <c r="J229" s="2">
        <v>0</v>
      </c>
      <c r="K229" s="2">
        <v>1.4299999480000001</v>
      </c>
      <c r="L229" s="2">
        <v>0</v>
      </c>
      <c r="M229" s="2">
        <v>0</v>
      </c>
      <c r="N229" s="2">
        <v>0</v>
      </c>
      <c r="O229" s="2">
        <v>115</v>
      </c>
      <c r="P229" s="2">
        <v>720</v>
      </c>
      <c r="Q229" s="2">
        <f t="shared" si="17"/>
        <v>115</v>
      </c>
      <c r="R229" s="2">
        <f t="shared" si="15"/>
        <v>835</v>
      </c>
      <c r="S229" t="str">
        <f t="shared" si="19"/>
        <v>Sedentary</v>
      </c>
      <c r="T229" s="2">
        <v>1330</v>
      </c>
    </row>
    <row r="230" spans="1:20" x14ac:dyDescent="0.25">
      <c r="A230" s="2">
        <v>2026352035</v>
      </c>
      <c r="B230" s="3">
        <v>42464</v>
      </c>
      <c r="C230" t="str">
        <f t="shared" si="16"/>
        <v>Monday</v>
      </c>
      <c r="D230" t="str">
        <f t="shared" si="18"/>
        <v>Weekday</v>
      </c>
      <c r="E230" s="2">
        <v>6679</v>
      </c>
      <c r="F230" s="2">
        <v>4.1399998660000001</v>
      </c>
      <c r="G230" s="2">
        <v>4.1399998660000001</v>
      </c>
      <c r="H230" s="2">
        <v>0</v>
      </c>
      <c r="I230" s="2">
        <v>0</v>
      </c>
      <c r="J230" s="2">
        <v>0</v>
      </c>
      <c r="K230" s="2">
        <v>4.1399998660000001</v>
      </c>
      <c r="L230" s="2">
        <v>0</v>
      </c>
      <c r="M230" s="2">
        <v>0</v>
      </c>
      <c r="N230" s="2">
        <v>0</v>
      </c>
      <c r="O230" s="2">
        <v>263</v>
      </c>
      <c r="P230" s="2">
        <v>644</v>
      </c>
      <c r="Q230" s="2">
        <f t="shared" si="17"/>
        <v>263</v>
      </c>
      <c r="R230" s="2">
        <f t="shared" si="15"/>
        <v>907</v>
      </c>
      <c r="S230" t="str">
        <f t="shared" si="19"/>
        <v>Lightly Active</v>
      </c>
      <c r="T230" s="2">
        <v>1583</v>
      </c>
    </row>
    <row r="231" spans="1:20" x14ac:dyDescent="0.25">
      <c r="A231" s="2">
        <v>2026352035</v>
      </c>
      <c r="B231" s="3">
        <v>42465</v>
      </c>
      <c r="C231" t="str">
        <f t="shared" si="16"/>
        <v>Tuesday</v>
      </c>
      <c r="D231" t="str">
        <f t="shared" si="18"/>
        <v>Weekday</v>
      </c>
      <c r="E231" s="2">
        <v>5645</v>
      </c>
      <c r="F231" s="2">
        <v>3.5</v>
      </c>
      <c r="G231" s="2">
        <v>3.5</v>
      </c>
      <c r="H231" s="2">
        <v>0</v>
      </c>
      <c r="I231" s="2">
        <v>0</v>
      </c>
      <c r="J231" s="2">
        <v>0</v>
      </c>
      <c r="K231" s="2">
        <v>3.5</v>
      </c>
      <c r="L231" s="2">
        <v>0</v>
      </c>
      <c r="M231" s="2">
        <v>0</v>
      </c>
      <c r="N231" s="2">
        <v>0</v>
      </c>
      <c r="O231" s="2">
        <v>248</v>
      </c>
      <c r="P231" s="2">
        <v>621</v>
      </c>
      <c r="Q231" s="2">
        <f t="shared" si="17"/>
        <v>248</v>
      </c>
      <c r="R231" s="2">
        <f t="shared" si="15"/>
        <v>869</v>
      </c>
      <c r="S231" t="str">
        <f t="shared" si="19"/>
        <v>Lightly Active</v>
      </c>
      <c r="T231" s="2">
        <v>1538</v>
      </c>
    </row>
    <row r="232" spans="1:20" x14ac:dyDescent="0.25">
      <c r="A232" s="2">
        <v>2026352035</v>
      </c>
      <c r="B232" s="3">
        <v>42466</v>
      </c>
      <c r="C232" t="str">
        <f t="shared" si="16"/>
        <v>Wednesday</v>
      </c>
      <c r="D232" t="str">
        <f t="shared" si="18"/>
        <v>Weekday</v>
      </c>
      <c r="E232" s="2">
        <v>3180</v>
      </c>
      <c r="F232" s="2">
        <v>1.9700000289999999</v>
      </c>
      <c r="G232" s="2">
        <v>1.9700000289999999</v>
      </c>
      <c r="H232" s="2">
        <v>0</v>
      </c>
      <c r="I232" s="2">
        <v>0</v>
      </c>
      <c r="J232" s="2">
        <v>0</v>
      </c>
      <c r="K232" s="2">
        <v>1.9700000289999999</v>
      </c>
      <c r="L232" s="2">
        <v>0</v>
      </c>
      <c r="M232" s="2">
        <v>0</v>
      </c>
      <c r="N232" s="2">
        <v>0</v>
      </c>
      <c r="O232" s="2">
        <v>185</v>
      </c>
      <c r="P232" s="2">
        <v>738</v>
      </c>
      <c r="Q232" s="2">
        <f t="shared" si="17"/>
        <v>185</v>
      </c>
      <c r="R232" s="2">
        <f t="shared" si="15"/>
        <v>923</v>
      </c>
      <c r="S232" t="str">
        <f t="shared" si="19"/>
        <v>Sedentary</v>
      </c>
      <c r="T232" s="2">
        <v>1421</v>
      </c>
    </row>
    <row r="233" spans="1:20" x14ac:dyDescent="0.25">
      <c r="A233" s="2">
        <v>2026352035</v>
      </c>
      <c r="B233" s="3">
        <v>42467</v>
      </c>
      <c r="C233" t="str">
        <f t="shared" si="16"/>
        <v>Thursday</v>
      </c>
      <c r="D233" t="str">
        <f t="shared" si="18"/>
        <v>Weekday</v>
      </c>
      <c r="E233" s="2">
        <v>2767</v>
      </c>
      <c r="F233" s="2">
        <v>1.7200000289999999</v>
      </c>
      <c r="G233" s="2">
        <v>1.7200000289999999</v>
      </c>
      <c r="H233" s="2">
        <v>0</v>
      </c>
      <c r="I233" s="2">
        <v>0</v>
      </c>
      <c r="J233" s="2">
        <v>0</v>
      </c>
      <c r="K233" s="2">
        <v>1.7200000289999999</v>
      </c>
      <c r="L233" s="2">
        <v>0</v>
      </c>
      <c r="M233" s="2">
        <v>0</v>
      </c>
      <c r="N233" s="2">
        <v>0</v>
      </c>
      <c r="O233" s="2">
        <v>170</v>
      </c>
      <c r="P233" s="2">
        <v>673</v>
      </c>
      <c r="Q233" s="2">
        <f t="shared" si="17"/>
        <v>170</v>
      </c>
      <c r="R233" s="2">
        <f t="shared" si="15"/>
        <v>843</v>
      </c>
      <c r="S233" t="str">
        <f t="shared" si="19"/>
        <v>Sedentary</v>
      </c>
      <c r="T233" s="2">
        <v>1392</v>
      </c>
    </row>
    <row r="234" spans="1:20" x14ac:dyDescent="0.25">
      <c r="A234" s="2">
        <v>2026352035</v>
      </c>
      <c r="B234" s="3">
        <v>42468</v>
      </c>
      <c r="C234" t="str">
        <f t="shared" si="16"/>
        <v>Friday</v>
      </c>
      <c r="D234" t="str">
        <f t="shared" si="18"/>
        <v>Weekday</v>
      </c>
      <c r="E234" s="2">
        <v>3762</v>
      </c>
      <c r="F234" s="2">
        <v>2.329999924</v>
      </c>
      <c r="G234" s="2">
        <v>2.329999924</v>
      </c>
      <c r="H234" s="2">
        <v>0</v>
      </c>
      <c r="I234" s="2">
        <v>0</v>
      </c>
      <c r="J234" s="2">
        <v>0</v>
      </c>
      <c r="K234" s="2">
        <v>2.329999924</v>
      </c>
      <c r="L234" s="2">
        <v>0</v>
      </c>
      <c r="M234" s="2">
        <v>0</v>
      </c>
      <c r="N234" s="2">
        <v>0</v>
      </c>
      <c r="O234" s="2">
        <v>173</v>
      </c>
      <c r="P234" s="2">
        <v>719</v>
      </c>
      <c r="Q234" s="2">
        <f t="shared" si="17"/>
        <v>173</v>
      </c>
      <c r="R234" s="2">
        <f t="shared" si="15"/>
        <v>892</v>
      </c>
      <c r="S234" t="str">
        <f t="shared" si="19"/>
        <v>Sedentary</v>
      </c>
      <c r="T234" s="2">
        <v>1425</v>
      </c>
    </row>
    <row r="235" spans="1:20" x14ac:dyDescent="0.25">
      <c r="A235" s="2">
        <v>2026352035</v>
      </c>
      <c r="B235" s="3">
        <v>42469</v>
      </c>
      <c r="C235" t="str">
        <f t="shared" si="16"/>
        <v>Saturday</v>
      </c>
      <c r="D235" t="str">
        <f t="shared" si="18"/>
        <v>Weekend</v>
      </c>
      <c r="E235" s="2">
        <v>3098</v>
      </c>
      <c r="F235" s="2">
        <v>1.9199999569999999</v>
      </c>
      <c r="G235" s="2">
        <v>1.9199999569999999</v>
      </c>
      <c r="H235" s="2">
        <v>0</v>
      </c>
      <c r="I235" s="2">
        <v>0</v>
      </c>
      <c r="J235" s="2">
        <v>0</v>
      </c>
      <c r="K235" s="2">
        <v>1.9199999569999999</v>
      </c>
      <c r="L235" s="2">
        <v>0</v>
      </c>
      <c r="M235" s="2">
        <v>0</v>
      </c>
      <c r="N235" s="2">
        <v>0</v>
      </c>
      <c r="O235" s="2">
        <v>185</v>
      </c>
      <c r="P235" s="2">
        <v>700</v>
      </c>
      <c r="Q235" s="2">
        <f t="shared" si="17"/>
        <v>185</v>
      </c>
      <c r="R235" s="2">
        <f t="shared" si="15"/>
        <v>885</v>
      </c>
      <c r="S235" t="str">
        <f t="shared" si="19"/>
        <v>Sedentary</v>
      </c>
      <c r="T235" s="2">
        <v>1413</v>
      </c>
    </row>
    <row r="236" spans="1:20" x14ac:dyDescent="0.25">
      <c r="A236" s="2">
        <v>2026352035</v>
      </c>
      <c r="B236" s="3">
        <v>42470</v>
      </c>
      <c r="C236" t="str">
        <f t="shared" si="16"/>
        <v>Sunday</v>
      </c>
      <c r="D236" t="str">
        <f t="shared" si="18"/>
        <v>Weekend</v>
      </c>
      <c r="E236" s="2">
        <v>5142</v>
      </c>
      <c r="F236" s="2">
        <v>3.1900000569999998</v>
      </c>
      <c r="G236" s="2">
        <v>3.1900000569999998</v>
      </c>
      <c r="H236" s="2">
        <v>0</v>
      </c>
      <c r="I236" s="2">
        <v>0</v>
      </c>
      <c r="J236" s="2">
        <v>0</v>
      </c>
      <c r="K236" s="2">
        <v>3.1900000569999998</v>
      </c>
      <c r="L236" s="2">
        <v>0</v>
      </c>
      <c r="M236" s="2">
        <v>0</v>
      </c>
      <c r="N236" s="2">
        <v>0</v>
      </c>
      <c r="O236" s="2">
        <v>230</v>
      </c>
      <c r="P236" s="2">
        <v>654</v>
      </c>
      <c r="Q236" s="2">
        <f t="shared" si="17"/>
        <v>230</v>
      </c>
      <c r="R236" s="2">
        <f t="shared" si="15"/>
        <v>884</v>
      </c>
      <c r="S236" t="str">
        <f t="shared" si="19"/>
        <v>Lightly Active</v>
      </c>
      <c r="T236" s="2">
        <v>1515</v>
      </c>
    </row>
    <row r="237" spans="1:20" x14ac:dyDescent="0.25">
      <c r="A237" s="2">
        <v>2026352035</v>
      </c>
      <c r="B237" s="3">
        <v>42471</v>
      </c>
      <c r="C237" t="str">
        <f t="shared" si="16"/>
        <v>Monday</v>
      </c>
      <c r="D237" t="str">
        <f t="shared" si="18"/>
        <v>Weekday</v>
      </c>
      <c r="E237" s="2">
        <v>3279</v>
      </c>
      <c r="F237" s="2">
        <v>2.0299999710000001</v>
      </c>
      <c r="G237" s="2">
        <v>2.0299999710000001</v>
      </c>
      <c r="H237" s="2">
        <v>0</v>
      </c>
      <c r="I237" s="2">
        <v>0</v>
      </c>
      <c r="J237" s="2">
        <v>0</v>
      </c>
      <c r="K237" s="2">
        <v>2.0299999710000001</v>
      </c>
      <c r="L237" s="2">
        <v>0</v>
      </c>
      <c r="M237" s="2">
        <v>0</v>
      </c>
      <c r="N237" s="2">
        <v>0</v>
      </c>
      <c r="O237" s="2">
        <v>164</v>
      </c>
      <c r="P237" s="2">
        <v>694</v>
      </c>
      <c r="Q237" s="2">
        <f t="shared" si="17"/>
        <v>164</v>
      </c>
      <c r="R237" s="2">
        <f t="shared" si="15"/>
        <v>858</v>
      </c>
      <c r="S237" t="str">
        <f t="shared" si="19"/>
        <v>Sedentary</v>
      </c>
      <c r="T237" s="2">
        <v>1405</v>
      </c>
    </row>
    <row r="238" spans="1:20" x14ac:dyDescent="0.25">
      <c r="A238" s="2">
        <v>2026352035</v>
      </c>
      <c r="B238" s="3">
        <v>42473</v>
      </c>
      <c r="C238" t="str">
        <f t="shared" si="16"/>
        <v>Wednesday</v>
      </c>
      <c r="D238" t="str">
        <f t="shared" si="18"/>
        <v>Weekday</v>
      </c>
      <c r="E238" s="2">
        <v>4993</v>
      </c>
      <c r="F238" s="2">
        <v>3.0999999049999998</v>
      </c>
      <c r="G238" s="2">
        <v>3.0999999049999998</v>
      </c>
      <c r="H238" s="2">
        <v>0</v>
      </c>
      <c r="I238" s="2">
        <v>0</v>
      </c>
      <c r="J238" s="2">
        <v>0</v>
      </c>
      <c r="K238" s="2">
        <v>3.0999999049999998</v>
      </c>
      <c r="L238" s="2">
        <v>0</v>
      </c>
      <c r="M238" s="2">
        <v>0</v>
      </c>
      <c r="N238" s="2">
        <v>0</v>
      </c>
      <c r="O238" s="2">
        <v>238</v>
      </c>
      <c r="P238" s="2">
        <v>663</v>
      </c>
      <c r="Q238" s="2">
        <f t="shared" si="17"/>
        <v>238</v>
      </c>
      <c r="R238" s="2">
        <f t="shared" si="15"/>
        <v>901</v>
      </c>
      <c r="S238" t="str">
        <f t="shared" si="19"/>
        <v>Sedentary</v>
      </c>
      <c r="T238" s="2">
        <v>1521</v>
      </c>
    </row>
    <row r="239" spans="1:20" x14ac:dyDescent="0.25">
      <c r="A239" s="2">
        <v>2026352035</v>
      </c>
      <c r="B239" s="3">
        <v>42474</v>
      </c>
      <c r="C239" t="str">
        <f t="shared" si="16"/>
        <v>Thursday</v>
      </c>
      <c r="D239" t="str">
        <f t="shared" si="18"/>
        <v>Weekday</v>
      </c>
      <c r="E239" s="2">
        <v>3335</v>
      </c>
      <c r="F239" s="2">
        <v>2.0699999330000001</v>
      </c>
      <c r="G239" s="2">
        <v>2.0699999330000001</v>
      </c>
      <c r="H239" s="2">
        <v>0</v>
      </c>
      <c r="I239" s="2">
        <v>0</v>
      </c>
      <c r="J239" s="2">
        <v>0</v>
      </c>
      <c r="K239" s="2">
        <v>2.0499999519999998</v>
      </c>
      <c r="L239" s="2">
        <v>0</v>
      </c>
      <c r="M239" s="2">
        <v>0</v>
      </c>
      <c r="N239" s="2">
        <v>0</v>
      </c>
      <c r="O239" s="2">
        <v>197</v>
      </c>
      <c r="P239" s="2">
        <v>653</v>
      </c>
      <c r="Q239" s="2">
        <f t="shared" si="17"/>
        <v>197</v>
      </c>
      <c r="R239" s="2">
        <f t="shared" si="15"/>
        <v>850</v>
      </c>
      <c r="S239" t="str">
        <f t="shared" si="19"/>
        <v>Sedentary</v>
      </c>
      <c r="T239" s="2">
        <v>1431</v>
      </c>
    </row>
    <row r="240" spans="1:20" x14ac:dyDescent="0.25">
      <c r="A240" s="2">
        <v>2026352035</v>
      </c>
      <c r="B240" s="3">
        <v>42475</v>
      </c>
      <c r="C240" t="str">
        <f t="shared" si="16"/>
        <v>Friday</v>
      </c>
      <c r="D240" t="str">
        <f t="shared" si="18"/>
        <v>Weekday</v>
      </c>
      <c r="E240" s="2">
        <v>3821</v>
      </c>
      <c r="F240" s="2">
        <v>2.369999886</v>
      </c>
      <c r="G240" s="2">
        <v>2.369999886</v>
      </c>
      <c r="H240" s="2">
        <v>0</v>
      </c>
      <c r="I240" s="2">
        <v>0</v>
      </c>
      <c r="J240" s="2">
        <v>0</v>
      </c>
      <c r="K240" s="2">
        <v>2.369999886</v>
      </c>
      <c r="L240" s="2">
        <v>0</v>
      </c>
      <c r="M240" s="2">
        <v>0</v>
      </c>
      <c r="N240" s="2">
        <v>0</v>
      </c>
      <c r="O240" s="2">
        <v>188</v>
      </c>
      <c r="P240" s="2">
        <v>687</v>
      </c>
      <c r="Q240" s="2">
        <f t="shared" si="17"/>
        <v>188</v>
      </c>
      <c r="R240" s="2">
        <f t="shared" si="15"/>
        <v>875</v>
      </c>
      <c r="S240" t="str">
        <f t="shared" si="19"/>
        <v>Sedentary</v>
      </c>
      <c r="T240" s="2">
        <v>1444</v>
      </c>
    </row>
    <row r="241" spans="1:20" x14ac:dyDescent="0.25">
      <c r="A241" s="2">
        <v>2026352035</v>
      </c>
      <c r="B241" s="3">
        <v>42476</v>
      </c>
      <c r="C241" t="str">
        <f t="shared" si="16"/>
        <v>Saturday</v>
      </c>
      <c r="D241" t="str">
        <f t="shared" si="18"/>
        <v>Weekend</v>
      </c>
      <c r="E241" s="2">
        <v>2547</v>
      </c>
      <c r="F241" s="2">
        <v>1.5800000430000001</v>
      </c>
      <c r="G241" s="2">
        <v>1.5800000430000001</v>
      </c>
      <c r="H241" s="2">
        <v>0</v>
      </c>
      <c r="I241" s="2">
        <v>0</v>
      </c>
      <c r="J241" s="2">
        <v>0</v>
      </c>
      <c r="K241" s="2">
        <v>1.5800000430000001</v>
      </c>
      <c r="L241" s="2">
        <v>0</v>
      </c>
      <c r="M241" s="2">
        <v>0</v>
      </c>
      <c r="N241" s="2">
        <v>0</v>
      </c>
      <c r="O241" s="2">
        <v>150</v>
      </c>
      <c r="P241" s="2">
        <v>728</v>
      </c>
      <c r="Q241" s="2">
        <f t="shared" si="17"/>
        <v>150</v>
      </c>
      <c r="R241" s="2">
        <f t="shared" si="15"/>
        <v>878</v>
      </c>
      <c r="S241" t="str">
        <f t="shared" si="19"/>
        <v>Sedentary</v>
      </c>
      <c r="T241" s="2">
        <v>1373</v>
      </c>
    </row>
    <row r="242" spans="1:20" x14ac:dyDescent="0.25">
      <c r="A242" s="2">
        <v>2026352035</v>
      </c>
      <c r="B242" s="3">
        <v>42477</v>
      </c>
      <c r="C242" t="str">
        <f t="shared" si="16"/>
        <v>Sunday</v>
      </c>
      <c r="D242" t="str">
        <f t="shared" si="18"/>
        <v>Weekend</v>
      </c>
      <c r="E242" s="2">
        <v>838</v>
      </c>
      <c r="F242" s="2">
        <v>0.519999981</v>
      </c>
      <c r="G242" s="2">
        <v>0.519999981</v>
      </c>
      <c r="H242" s="2">
        <v>0</v>
      </c>
      <c r="I242" s="2">
        <v>0</v>
      </c>
      <c r="J242" s="2">
        <v>0</v>
      </c>
      <c r="K242" s="2">
        <v>0.519999981</v>
      </c>
      <c r="L242" s="2">
        <v>0</v>
      </c>
      <c r="M242" s="2">
        <v>0</v>
      </c>
      <c r="N242" s="2">
        <v>0</v>
      </c>
      <c r="O242" s="2">
        <v>60</v>
      </c>
      <c r="P242" s="2">
        <v>1053</v>
      </c>
      <c r="Q242" s="2">
        <f t="shared" si="17"/>
        <v>60</v>
      </c>
      <c r="R242" s="2">
        <f t="shared" si="15"/>
        <v>1113</v>
      </c>
      <c r="S242" t="str">
        <f t="shared" si="19"/>
        <v>Sedentary</v>
      </c>
      <c r="T242" s="2">
        <v>1214</v>
      </c>
    </row>
    <row r="243" spans="1:20" x14ac:dyDescent="0.25">
      <c r="A243" s="2">
        <v>2026352035</v>
      </c>
      <c r="B243" s="3">
        <v>42478</v>
      </c>
      <c r="C243" t="str">
        <f t="shared" si="16"/>
        <v>Monday</v>
      </c>
      <c r="D243" t="str">
        <f t="shared" si="18"/>
        <v>Weekday</v>
      </c>
      <c r="E243" s="2">
        <v>3325</v>
      </c>
      <c r="F243" s="2">
        <v>2.0599999430000002</v>
      </c>
      <c r="G243" s="2">
        <v>2.0599999430000002</v>
      </c>
      <c r="H243" s="2">
        <v>0</v>
      </c>
      <c r="I243" s="2">
        <v>0</v>
      </c>
      <c r="J243" s="2">
        <v>0</v>
      </c>
      <c r="K243" s="2">
        <v>2.0599999430000002</v>
      </c>
      <c r="L243" s="2">
        <v>0</v>
      </c>
      <c r="M243" s="2">
        <v>0</v>
      </c>
      <c r="N243" s="2">
        <v>0</v>
      </c>
      <c r="O243" s="2">
        <v>182</v>
      </c>
      <c r="P243" s="2">
        <v>1062</v>
      </c>
      <c r="Q243" s="2">
        <f t="shared" si="17"/>
        <v>182</v>
      </c>
      <c r="R243" s="2">
        <f t="shared" si="15"/>
        <v>1244</v>
      </c>
      <c r="S243" t="str">
        <f t="shared" si="19"/>
        <v>Sedentary</v>
      </c>
      <c r="T243" s="2">
        <v>1419</v>
      </c>
    </row>
    <row r="244" spans="1:20" x14ac:dyDescent="0.25">
      <c r="A244" s="2">
        <v>2026352035</v>
      </c>
      <c r="B244" s="3">
        <v>42479</v>
      </c>
      <c r="C244" t="str">
        <f t="shared" si="16"/>
        <v>Tuesday</v>
      </c>
      <c r="D244" t="str">
        <f t="shared" si="18"/>
        <v>Weekday</v>
      </c>
      <c r="E244" s="2">
        <v>2424</v>
      </c>
      <c r="F244" s="2">
        <v>1.5</v>
      </c>
      <c r="G244" s="2">
        <v>1.5</v>
      </c>
      <c r="H244" s="2">
        <v>0</v>
      </c>
      <c r="I244" s="2">
        <v>0</v>
      </c>
      <c r="J244" s="2">
        <v>0</v>
      </c>
      <c r="K244" s="2">
        <v>1.5</v>
      </c>
      <c r="L244" s="2">
        <v>0</v>
      </c>
      <c r="M244" s="2">
        <v>0</v>
      </c>
      <c r="N244" s="2">
        <v>0</v>
      </c>
      <c r="O244" s="2">
        <v>141</v>
      </c>
      <c r="P244" s="2">
        <v>785</v>
      </c>
      <c r="Q244" s="2">
        <f t="shared" si="17"/>
        <v>141</v>
      </c>
      <c r="R244" s="2">
        <f t="shared" si="15"/>
        <v>926</v>
      </c>
      <c r="S244" t="str">
        <f t="shared" si="19"/>
        <v>Sedentary</v>
      </c>
      <c r="T244" s="2">
        <v>1356</v>
      </c>
    </row>
    <row r="245" spans="1:20" x14ac:dyDescent="0.25">
      <c r="A245" s="2">
        <v>2026352035</v>
      </c>
      <c r="B245" s="3">
        <v>42480</v>
      </c>
      <c r="C245" t="str">
        <f t="shared" si="16"/>
        <v>Wednesday</v>
      </c>
      <c r="D245" t="str">
        <f t="shared" si="18"/>
        <v>Weekday</v>
      </c>
      <c r="E245" s="2">
        <v>7222</v>
      </c>
      <c r="F245" s="2">
        <v>4.4800000190000002</v>
      </c>
      <c r="G245" s="2">
        <v>4.4800000190000002</v>
      </c>
      <c r="H245" s="2">
        <v>0</v>
      </c>
      <c r="I245" s="2">
        <v>0</v>
      </c>
      <c r="J245" s="2">
        <v>0</v>
      </c>
      <c r="K245" s="2">
        <v>4.4800000190000002</v>
      </c>
      <c r="L245" s="2">
        <v>0</v>
      </c>
      <c r="M245" s="2">
        <v>0</v>
      </c>
      <c r="N245" s="2">
        <v>0</v>
      </c>
      <c r="O245" s="2">
        <v>327</v>
      </c>
      <c r="P245" s="2">
        <v>623</v>
      </c>
      <c r="Q245" s="2">
        <f t="shared" si="17"/>
        <v>327</v>
      </c>
      <c r="R245" s="2">
        <f t="shared" si="15"/>
        <v>950</v>
      </c>
      <c r="S245" t="str">
        <f t="shared" si="19"/>
        <v>Lightly Active</v>
      </c>
      <c r="T245" s="2">
        <v>1667</v>
      </c>
    </row>
    <row r="246" spans="1:20" x14ac:dyDescent="0.25">
      <c r="A246" s="2">
        <v>2026352035</v>
      </c>
      <c r="B246" s="3">
        <v>42481</v>
      </c>
      <c r="C246" t="str">
        <f t="shared" si="16"/>
        <v>Thursday</v>
      </c>
      <c r="D246" t="str">
        <f t="shared" si="18"/>
        <v>Weekday</v>
      </c>
      <c r="E246" s="2">
        <v>2467</v>
      </c>
      <c r="F246" s="2">
        <v>1.5299999710000001</v>
      </c>
      <c r="G246" s="2">
        <v>1.5299999710000001</v>
      </c>
      <c r="H246" s="2">
        <v>0</v>
      </c>
      <c r="I246" s="2">
        <v>0</v>
      </c>
      <c r="J246" s="2">
        <v>0</v>
      </c>
      <c r="K246" s="2">
        <v>1.5299999710000001</v>
      </c>
      <c r="L246" s="2">
        <v>0</v>
      </c>
      <c r="M246" s="2">
        <v>0</v>
      </c>
      <c r="N246" s="2">
        <v>0</v>
      </c>
      <c r="O246" s="2">
        <v>153</v>
      </c>
      <c r="P246" s="2">
        <v>749</v>
      </c>
      <c r="Q246" s="2">
        <f t="shared" si="17"/>
        <v>153</v>
      </c>
      <c r="R246" s="2">
        <f t="shared" si="15"/>
        <v>902</v>
      </c>
      <c r="S246" t="str">
        <f t="shared" si="19"/>
        <v>Sedentary</v>
      </c>
      <c r="T246" s="2">
        <v>1370</v>
      </c>
    </row>
    <row r="247" spans="1:20" x14ac:dyDescent="0.25">
      <c r="A247" s="2">
        <v>2026352035</v>
      </c>
      <c r="B247" s="3">
        <v>42482</v>
      </c>
      <c r="C247" t="str">
        <f t="shared" si="16"/>
        <v>Friday</v>
      </c>
      <c r="D247" t="str">
        <f t="shared" si="18"/>
        <v>Weekday</v>
      </c>
      <c r="E247" s="2">
        <v>2915</v>
      </c>
      <c r="F247" s="2">
        <v>1.809999943</v>
      </c>
      <c r="G247" s="2">
        <v>1.809999943</v>
      </c>
      <c r="H247" s="2">
        <v>0</v>
      </c>
      <c r="I247" s="2">
        <v>0</v>
      </c>
      <c r="J247" s="2">
        <v>0</v>
      </c>
      <c r="K247" s="2">
        <v>1.809999943</v>
      </c>
      <c r="L247" s="2">
        <v>0</v>
      </c>
      <c r="M247" s="2">
        <v>0</v>
      </c>
      <c r="N247" s="2">
        <v>0</v>
      </c>
      <c r="O247" s="2">
        <v>162</v>
      </c>
      <c r="P247" s="2">
        <v>712</v>
      </c>
      <c r="Q247" s="2">
        <f t="shared" si="17"/>
        <v>162</v>
      </c>
      <c r="R247" s="2">
        <f t="shared" ref="R247:R310" si="20">SUM(M247:P247)</f>
        <v>874</v>
      </c>
      <c r="S247" t="str">
        <f t="shared" si="19"/>
        <v>Sedentary</v>
      </c>
      <c r="T247" s="2">
        <v>1399</v>
      </c>
    </row>
    <row r="248" spans="1:20" x14ac:dyDescent="0.25">
      <c r="A248" s="2">
        <v>2026352035</v>
      </c>
      <c r="B248" s="3">
        <v>42483</v>
      </c>
      <c r="C248" t="str">
        <f t="shared" ref="C248:C311" si="21">CHOOSE(WEEKDAY(B248), "Sunday", "Monday", "Tuesday", "Wednesday", "Thursday", "Friday", "Saturday")</f>
        <v>Saturday</v>
      </c>
      <c r="D248" t="str">
        <f t="shared" si="18"/>
        <v>Weekend</v>
      </c>
      <c r="E248" s="2">
        <v>12357</v>
      </c>
      <c r="F248" s="2">
        <v>7.7100000380000004</v>
      </c>
      <c r="G248" s="2">
        <v>7.7100000380000004</v>
      </c>
      <c r="H248" s="2">
        <v>0</v>
      </c>
      <c r="I248" s="2">
        <v>0</v>
      </c>
      <c r="J248" s="2">
        <v>0</v>
      </c>
      <c r="K248" s="2">
        <v>7.7100000380000004</v>
      </c>
      <c r="L248" s="2">
        <v>0</v>
      </c>
      <c r="M248" s="2">
        <v>0</v>
      </c>
      <c r="N248" s="2">
        <v>0</v>
      </c>
      <c r="O248" s="2">
        <v>432</v>
      </c>
      <c r="P248" s="2">
        <v>458</v>
      </c>
      <c r="Q248" s="2">
        <f t="shared" ref="Q248:Q311" si="22">SUM(M248:O248)</f>
        <v>432</v>
      </c>
      <c r="R248" s="2">
        <f t="shared" si="20"/>
        <v>890</v>
      </c>
      <c r="S248" t="str">
        <f t="shared" si="19"/>
        <v>Highly Active</v>
      </c>
      <c r="T248" s="2">
        <v>1916</v>
      </c>
    </row>
    <row r="249" spans="1:20" x14ac:dyDescent="0.25">
      <c r="A249" s="2">
        <v>2026352035</v>
      </c>
      <c r="B249" s="3">
        <v>42484</v>
      </c>
      <c r="C249" t="str">
        <f t="shared" si="21"/>
        <v>Sunday</v>
      </c>
      <c r="D249" t="str">
        <f t="shared" si="18"/>
        <v>Weekend</v>
      </c>
      <c r="E249" s="2">
        <v>3490</v>
      </c>
      <c r="F249" s="2">
        <v>2.1600000860000002</v>
      </c>
      <c r="G249" s="2">
        <v>2.1600000860000002</v>
      </c>
      <c r="H249" s="2">
        <v>0</v>
      </c>
      <c r="I249" s="2">
        <v>0</v>
      </c>
      <c r="J249" s="2">
        <v>0</v>
      </c>
      <c r="K249" s="2">
        <v>2.1600000860000002</v>
      </c>
      <c r="L249" s="2">
        <v>0</v>
      </c>
      <c r="M249" s="2">
        <v>0</v>
      </c>
      <c r="N249" s="2">
        <v>0</v>
      </c>
      <c r="O249" s="2">
        <v>164</v>
      </c>
      <c r="P249" s="2">
        <v>704</v>
      </c>
      <c r="Q249" s="2">
        <f t="shared" si="22"/>
        <v>164</v>
      </c>
      <c r="R249" s="2">
        <f t="shared" si="20"/>
        <v>868</v>
      </c>
      <c r="S249" t="str">
        <f t="shared" si="19"/>
        <v>Sedentary</v>
      </c>
      <c r="T249" s="2">
        <v>1401</v>
      </c>
    </row>
    <row r="250" spans="1:20" x14ac:dyDescent="0.25">
      <c r="A250" s="2">
        <v>2026352035</v>
      </c>
      <c r="B250" s="3">
        <v>42485</v>
      </c>
      <c r="C250" t="str">
        <f t="shared" si="21"/>
        <v>Monday</v>
      </c>
      <c r="D250" t="str">
        <f t="shared" si="18"/>
        <v>Weekday</v>
      </c>
      <c r="E250" s="2">
        <v>6017</v>
      </c>
      <c r="F250" s="2">
        <v>3.7300000190000002</v>
      </c>
      <c r="G250" s="2">
        <v>3.7300000190000002</v>
      </c>
      <c r="H250" s="2">
        <v>0</v>
      </c>
      <c r="I250" s="2">
        <v>0</v>
      </c>
      <c r="J250" s="2">
        <v>0</v>
      </c>
      <c r="K250" s="2">
        <v>3.7300000190000002</v>
      </c>
      <c r="L250" s="2">
        <v>0</v>
      </c>
      <c r="M250" s="2">
        <v>0</v>
      </c>
      <c r="N250" s="2">
        <v>0</v>
      </c>
      <c r="O250" s="2">
        <v>260</v>
      </c>
      <c r="P250" s="2">
        <v>821</v>
      </c>
      <c r="Q250" s="2">
        <f t="shared" si="22"/>
        <v>260</v>
      </c>
      <c r="R250" s="2">
        <f t="shared" si="20"/>
        <v>1081</v>
      </c>
      <c r="S250" t="str">
        <f t="shared" si="19"/>
        <v>Lightly Active</v>
      </c>
      <c r="T250" s="2">
        <v>1576</v>
      </c>
    </row>
    <row r="251" spans="1:20" x14ac:dyDescent="0.25">
      <c r="A251" s="2">
        <v>2026352035</v>
      </c>
      <c r="B251" s="3">
        <v>42486</v>
      </c>
      <c r="C251" t="str">
        <f t="shared" si="21"/>
        <v>Tuesday</v>
      </c>
      <c r="D251" t="str">
        <f t="shared" si="18"/>
        <v>Weekday</v>
      </c>
      <c r="E251" s="2">
        <v>5933</v>
      </c>
      <c r="F251" s="2">
        <v>3.6800000669999999</v>
      </c>
      <c r="G251" s="2">
        <v>3.6800000669999999</v>
      </c>
      <c r="H251" s="2">
        <v>0</v>
      </c>
      <c r="I251" s="2">
        <v>0</v>
      </c>
      <c r="J251" s="2">
        <v>0</v>
      </c>
      <c r="K251" s="2">
        <v>3.6800000669999999</v>
      </c>
      <c r="L251" s="2">
        <v>0</v>
      </c>
      <c r="M251" s="2">
        <v>0</v>
      </c>
      <c r="N251" s="2">
        <v>0</v>
      </c>
      <c r="O251" s="2">
        <v>288</v>
      </c>
      <c r="P251" s="2">
        <v>1018</v>
      </c>
      <c r="Q251" s="2">
        <f t="shared" si="22"/>
        <v>288</v>
      </c>
      <c r="R251" s="2">
        <f t="shared" si="20"/>
        <v>1306</v>
      </c>
      <c r="S251" t="str">
        <f t="shared" si="19"/>
        <v>Lightly Active</v>
      </c>
      <c r="T251" s="2">
        <v>1595</v>
      </c>
    </row>
    <row r="252" spans="1:20" x14ac:dyDescent="0.25">
      <c r="A252" s="2">
        <v>2026352035</v>
      </c>
      <c r="B252" s="3">
        <v>42487</v>
      </c>
      <c r="C252" t="str">
        <f t="shared" si="21"/>
        <v>Wednesday</v>
      </c>
      <c r="D252" t="str">
        <f t="shared" si="18"/>
        <v>Weekday</v>
      </c>
      <c r="E252" s="2">
        <v>6088</v>
      </c>
      <c r="F252" s="2">
        <v>3.7699999809999998</v>
      </c>
      <c r="G252" s="2">
        <v>3.7699999809999998</v>
      </c>
      <c r="H252" s="2">
        <v>0</v>
      </c>
      <c r="I252" s="2">
        <v>0</v>
      </c>
      <c r="J252" s="2">
        <v>0</v>
      </c>
      <c r="K252" s="2">
        <v>3.7699999809999998</v>
      </c>
      <c r="L252" s="2">
        <v>0</v>
      </c>
      <c r="M252" s="2">
        <v>0</v>
      </c>
      <c r="N252" s="2">
        <v>0</v>
      </c>
      <c r="O252" s="2">
        <v>286</v>
      </c>
      <c r="P252" s="2">
        <v>586</v>
      </c>
      <c r="Q252" s="2">
        <f t="shared" si="22"/>
        <v>286</v>
      </c>
      <c r="R252" s="2">
        <f t="shared" si="20"/>
        <v>872</v>
      </c>
      <c r="S252" t="str">
        <f t="shared" si="19"/>
        <v>Lightly Active</v>
      </c>
      <c r="T252" s="2">
        <v>1593</v>
      </c>
    </row>
    <row r="253" spans="1:20" x14ac:dyDescent="0.25">
      <c r="A253" s="2">
        <v>2026352035</v>
      </c>
      <c r="B253" s="3">
        <v>42488</v>
      </c>
      <c r="C253" t="str">
        <f t="shared" si="21"/>
        <v>Thursday</v>
      </c>
      <c r="D253" t="str">
        <f t="shared" si="18"/>
        <v>Weekday</v>
      </c>
      <c r="E253" s="2">
        <v>6375</v>
      </c>
      <c r="F253" s="2">
        <v>3.9500000480000002</v>
      </c>
      <c r="G253" s="2">
        <v>3.9500000480000002</v>
      </c>
      <c r="H253" s="2">
        <v>0</v>
      </c>
      <c r="I253" s="2">
        <v>0</v>
      </c>
      <c r="J253" s="2">
        <v>0</v>
      </c>
      <c r="K253" s="2">
        <v>3.9500000480000002</v>
      </c>
      <c r="L253" s="2">
        <v>0</v>
      </c>
      <c r="M253" s="2">
        <v>0</v>
      </c>
      <c r="N253" s="2">
        <v>0</v>
      </c>
      <c r="O253" s="2">
        <v>331</v>
      </c>
      <c r="P253" s="2">
        <v>626</v>
      </c>
      <c r="Q253" s="2">
        <f t="shared" si="22"/>
        <v>331</v>
      </c>
      <c r="R253" s="2">
        <f t="shared" si="20"/>
        <v>957</v>
      </c>
      <c r="S253" t="str">
        <f t="shared" si="19"/>
        <v>Lightly Active</v>
      </c>
      <c r="T253" s="2">
        <v>1649</v>
      </c>
    </row>
    <row r="254" spans="1:20" x14ac:dyDescent="0.25">
      <c r="A254" s="2">
        <v>2026352035</v>
      </c>
      <c r="B254" s="3">
        <v>42489</v>
      </c>
      <c r="C254" t="str">
        <f t="shared" si="21"/>
        <v>Friday</v>
      </c>
      <c r="D254" t="str">
        <f t="shared" si="18"/>
        <v>Weekday</v>
      </c>
      <c r="E254" s="2">
        <v>7604</v>
      </c>
      <c r="F254" s="2">
        <v>4.7100000380000004</v>
      </c>
      <c r="G254" s="2">
        <v>4.7100000380000004</v>
      </c>
      <c r="H254" s="2">
        <v>0</v>
      </c>
      <c r="I254" s="2">
        <v>0</v>
      </c>
      <c r="J254" s="2">
        <v>0</v>
      </c>
      <c r="K254" s="2">
        <v>4.7100000380000004</v>
      </c>
      <c r="L254" s="2">
        <v>0</v>
      </c>
      <c r="M254" s="2">
        <v>0</v>
      </c>
      <c r="N254" s="2">
        <v>0</v>
      </c>
      <c r="O254" s="2">
        <v>352</v>
      </c>
      <c r="P254" s="2">
        <v>492</v>
      </c>
      <c r="Q254" s="2">
        <f t="shared" si="22"/>
        <v>352</v>
      </c>
      <c r="R254" s="2">
        <f t="shared" si="20"/>
        <v>844</v>
      </c>
      <c r="S254" t="str">
        <f t="shared" si="19"/>
        <v>Fairly Active</v>
      </c>
      <c r="T254" s="2">
        <v>1692</v>
      </c>
    </row>
    <row r="255" spans="1:20" x14ac:dyDescent="0.25">
      <c r="A255" s="2">
        <v>2026352035</v>
      </c>
      <c r="B255" s="3">
        <v>42490</v>
      </c>
      <c r="C255" t="str">
        <f t="shared" si="21"/>
        <v>Saturday</v>
      </c>
      <c r="D255" t="str">
        <f t="shared" si="18"/>
        <v>Weekend</v>
      </c>
      <c r="E255" s="2">
        <v>4729</v>
      </c>
      <c r="F255" s="2">
        <v>2.9300000669999999</v>
      </c>
      <c r="G255" s="2">
        <v>2.9300000669999999</v>
      </c>
      <c r="H255" s="2">
        <v>0</v>
      </c>
      <c r="I255" s="2">
        <v>0</v>
      </c>
      <c r="J255" s="2">
        <v>0</v>
      </c>
      <c r="K255" s="2">
        <v>2.9300000669999999</v>
      </c>
      <c r="L255" s="2">
        <v>0</v>
      </c>
      <c r="M255" s="2">
        <v>0</v>
      </c>
      <c r="N255" s="2">
        <v>0</v>
      </c>
      <c r="O255" s="2">
        <v>233</v>
      </c>
      <c r="P255" s="2">
        <v>594</v>
      </c>
      <c r="Q255" s="2">
        <f t="shared" si="22"/>
        <v>233</v>
      </c>
      <c r="R255" s="2">
        <f t="shared" si="20"/>
        <v>827</v>
      </c>
      <c r="S255" t="str">
        <f t="shared" si="19"/>
        <v>Sedentary</v>
      </c>
      <c r="T255" s="2">
        <v>1506</v>
      </c>
    </row>
    <row r="256" spans="1:20" x14ac:dyDescent="0.25">
      <c r="A256" s="2">
        <v>2026352035</v>
      </c>
      <c r="B256" s="3">
        <v>42491</v>
      </c>
      <c r="C256" t="str">
        <f t="shared" si="21"/>
        <v>Sunday</v>
      </c>
      <c r="D256" t="str">
        <f t="shared" si="18"/>
        <v>Weekend</v>
      </c>
      <c r="E256" s="2">
        <v>3609</v>
      </c>
      <c r="F256" s="2">
        <v>2.2799999710000001</v>
      </c>
      <c r="G256" s="2">
        <v>2.2799999710000001</v>
      </c>
      <c r="H256" s="2">
        <v>0</v>
      </c>
      <c r="I256" s="2">
        <v>0</v>
      </c>
      <c r="J256" s="2">
        <v>0</v>
      </c>
      <c r="K256" s="2">
        <v>2.2799999710000001</v>
      </c>
      <c r="L256" s="2">
        <v>0</v>
      </c>
      <c r="M256" s="2">
        <v>0</v>
      </c>
      <c r="N256" s="2">
        <v>0</v>
      </c>
      <c r="O256" s="2">
        <v>191</v>
      </c>
      <c r="P256" s="2">
        <v>716</v>
      </c>
      <c r="Q256" s="2">
        <f t="shared" si="22"/>
        <v>191</v>
      </c>
      <c r="R256" s="2">
        <f t="shared" si="20"/>
        <v>907</v>
      </c>
      <c r="S256" t="str">
        <f t="shared" si="19"/>
        <v>Sedentary</v>
      </c>
      <c r="T256" s="2">
        <v>1447</v>
      </c>
    </row>
    <row r="257" spans="1:20" x14ac:dyDescent="0.25">
      <c r="A257" s="2">
        <v>2026352035</v>
      </c>
      <c r="B257" s="3">
        <v>42492</v>
      </c>
      <c r="C257" t="str">
        <f t="shared" si="21"/>
        <v>Monday</v>
      </c>
      <c r="D257" t="str">
        <f t="shared" si="18"/>
        <v>Weekday</v>
      </c>
      <c r="E257" s="2">
        <v>7018</v>
      </c>
      <c r="F257" s="2">
        <v>4.3499999049999998</v>
      </c>
      <c r="G257" s="2">
        <v>4.3499999049999998</v>
      </c>
      <c r="H257" s="2">
        <v>0</v>
      </c>
      <c r="I257" s="2">
        <v>0</v>
      </c>
      <c r="J257" s="2">
        <v>0</v>
      </c>
      <c r="K257" s="2">
        <v>4.3499999049999998</v>
      </c>
      <c r="L257" s="2">
        <v>0</v>
      </c>
      <c r="M257" s="2">
        <v>0</v>
      </c>
      <c r="N257" s="2">
        <v>0</v>
      </c>
      <c r="O257" s="2">
        <v>355</v>
      </c>
      <c r="P257" s="2">
        <v>716</v>
      </c>
      <c r="Q257" s="2">
        <f t="shared" si="22"/>
        <v>355</v>
      </c>
      <c r="R257" s="2">
        <f t="shared" si="20"/>
        <v>1071</v>
      </c>
      <c r="S257" t="str">
        <f t="shared" si="19"/>
        <v>Lightly Active</v>
      </c>
      <c r="T257" s="2">
        <v>1690</v>
      </c>
    </row>
    <row r="258" spans="1:20" x14ac:dyDescent="0.25">
      <c r="A258" s="2">
        <v>2026352035</v>
      </c>
      <c r="B258" s="3">
        <v>42493</v>
      </c>
      <c r="C258" t="str">
        <f t="shared" si="21"/>
        <v>Tuesday</v>
      </c>
      <c r="D258" t="str">
        <f t="shared" si="18"/>
        <v>Weekday</v>
      </c>
      <c r="E258" s="2">
        <v>5992</v>
      </c>
      <c r="F258" s="2">
        <v>3.7200000289999999</v>
      </c>
      <c r="G258" s="2">
        <v>3.7200000289999999</v>
      </c>
      <c r="H258" s="2">
        <v>0</v>
      </c>
      <c r="I258" s="2">
        <v>0</v>
      </c>
      <c r="J258" s="2">
        <v>0</v>
      </c>
      <c r="K258" s="2">
        <v>3.7200000289999999</v>
      </c>
      <c r="L258" s="2">
        <v>0</v>
      </c>
      <c r="M258" s="2">
        <v>0</v>
      </c>
      <c r="N258" s="2">
        <v>0</v>
      </c>
      <c r="O258" s="2">
        <v>304</v>
      </c>
      <c r="P258" s="2">
        <v>981</v>
      </c>
      <c r="Q258" s="2">
        <f t="shared" si="22"/>
        <v>304</v>
      </c>
      <c r="R258" s="2">
        <f t="shared" si="20"/>
        <v>1285</v>
      </c>
      <c r="S258" t="str">
        <f t="shared" si="19"/>
        <v>Lightly Active</v>
      </c>
      <c r="T258" s="2">
        <v>1604</v>
      </c>
    </row>
    <row r="259" spans="1:20" x14ac:dyDescent="0.25">
      <c r="A259" s="2">
        <v>2026352035</v>
      </c>
      <c r="B259" s="3">
        <v>42494</v>
      </c>
      <c r="C259" t="str">
        <f t="shared" si="21"/>
        <v>Wednesday</v>
      </c>
      <c r="D259" t="str">
        <f t="shared" ref="D259:D322" si="23">IF(OR(C259="Saturday", C259="Sunday"), "Weekend", "Weekday")</f>
        <v>Weekday</v>
      </c>
      <c r="E259" s="2">
        <v>6564</v>
      </c>
      <c r="F259" s="2">
        <v>4.0700001720000003</v>
      </c>
      <c r="G259" s="2">
        <v>4.0700001720000003</v>
      </c>
      <c r="H259" s="2">
        <v>0</v>
      </c>
      <c r="I259" s="2">
        <v>0</v>
      </c>
      <c r="J259" s="2">
        <v>0</v>
      </c>
      <c r="K259" s="2">
        <v>4.0700001720000003</v>
      </c>
      <c r="L259" s="2">
        <v>0</v>
      </c>
      <c r="M259" s="2">
        <v>0</v>
      </c>
      <c r="N259" s="2">
        <v>0</v>
      </c>
      <c r="O259" s="2">
        <v>345</v>
      </c>
      <c r="P259" s="2">
        <v>530</v>
      </c>
      <c r="Q259" s="2">
        <f t="shared" si="22"/>
        <v>345</v>
      </c>
      <c r="R259" s="2">
        <f t="shared" si="20"/>
        <v>875</v>
      </c>
      <c r="S259" t="str">
        <f t="shared" ref="S259:S322" si="24">IF(E259&lt;5000, "Sedentary", IF(E259&lt;7500, "Lightly Active", IF(E259&lt;10000, "Fairly Active", "Highly Active")))</f>
        <v>Lightly Active</v>
      </c>
      <c r="T259" s="2">
        <v>1658</v>
      </c>
    </row>
    <row r="260" spans="1:20" x14ac:dyDescent="0.25">
      <c r="A260" s="2">
        <v>2026352035</v>
      </c>
      <c r="B260" s="3">
        <v>42495</v>
      </c>
      <c r="C260" t="str">
        <f t="shared" si="21"/>
        <v>Thursday</v>
      </c>
      <c r="D260" t="str">
        <f t="shared" si="23"/>
        <v>Weekday</v>
      </c>
      <c r="E260" s="2">
        <v>12167</v>
      </c>
      <c r="F260" s="2">
        <v>7.5399999619999996</v>
      </c>
      <c r="G260" s="2">
        <v>7.5399999619999996</v>
      </c>
      <c r="H260" s="2">
        <v>0</v>
      </c>
      <c r="I260" s="2">
        <v>0</v>
      </c>
      <c r="J260" s="2">
        <v>0</v>
      </c>
      <c r="K260" s="2">
        <v>7.5399999619999996</v>
      </c>
      <c r="L260" s="2">
        <v>0</v>
      </c>
      <c r="M260" s="2">
        <v>0</v>
      </c>
      <c r="N260" s="2">
        <v>0</v>
      </c>
      <c r="O260" s="2">
        <v>475</v>
      </c>
      <c r="P260" s="2">
        <v>479</v>
      </c>
      <c r="Q260" s="2">
        <f t="shared" si="22"/>
        <v>475</v>
      </c>
      <c r="R260" s="2">
        <f t="shared" si="20"/>
        <v>954</v>
      </c>
      <c r="S260" t="str">
        <f t="shared" si="24"/>
        <v>Highly Active</v>
      </c>
      <c r="T260" s="2">
        <v>1926</v>
      </c>
    </row>
    <row r="261" spans="1:20" x14ac:dyDescent="0.25">
      <c r="A261" s="2">
        <v>2026352035</v>
      </c>
      <c r="B261" s="3">
        <v>42496</v>
      </c>
      <c r="C261" t="str">
        <f t="shared" si="21"/>
        <v>Friday</v>
      </c>
      <c r="D261" t="str">
        <f t="shared" si="23"/>
        <v>Weekday</v>
      </c>
      <c r="E261" s="2">
        <v>8198</v>
      </c>
      <c r="F261" s="2">
        <v>5.079999924</v>
      </c>
      <c r="G261" s="2">
        <v>5.079999924</v>
      </c>
      <c r="H261" s="2">
        <v>0</v>
      </c>
      <c r="I261" s="2">
        <v>0</v>
      </c>
      <c r="J261" s="2">
        <v>0</v>
      </c>
      <c r="K261" s="2">
        <v>5.079999924</v>
      </c>
      <c r="L261" s="2">
        <v>0</v>
      </c>
      <c r="M261" s="2">
        <v>0</v>
      </c>
      <c r="N261" s="2">
        <v>0</v>
      </c>
      <c r="O261" s="2">
        <v>383</v>
      </c>
      <c r="P261" s="2">
        <v>511</v>
      </c>
      <c r="Q261" s="2">
        <f t="shared" si="22"/>
        <v>383</v>
      </c>
      <c r="R261" s="2">
        <f t="shared" si="20"/>
        <v>894</v>
      </c>
      <c r="S261" t="str">
        <f t="shared" si="24"/>
        <v>Fairly Active</v>
      </c>
      <c r="T261" s="2">
        <v>1736</v>
      </c>
    </row>
    <row r="262" spans="1:20" x14ac:dyDescent="0.25">
      <c r="A262" s="2">
        <v>2026352035</v>
      </c>
      <c r="B262" s="3">
        <v>42497</v>
      </c>
      <c r="C262" t="str">
        <f t="shared" si="21"/>
        <v>Saturday</v>
      </c>
      <c r="D262" t="str">
        <f t="shared" si="23"/>
        <v>Weekend</v>
      </c>
      <c r="E262" s="2">
        <v>4193</v>
      </c>
      <c r="F262" s="2">
        <v>2.5999999049999998</v>
      </c>
      <c r="G262" s="2">
        <v>2.5999999049999998</v>
      </c>
      <c r="H262" s="2">
        <v>0</v>
      </c>
      <c r="I262" s="2">
        <v>0</v>
      </c>
      <c r="J262" s="2">
        <v>0</v>
      </c>
      <c r="K262" s="2">
        <v>2.5999999049999998</v>
      </c>
      <c r="L262" s="2">
        <v>0</v>
      </c>
      <c r="M262" s="2">
        <v>0</v>
      </c>
      <c r="N262" s="2">
        <v>0</v>
      </c>
      <c r="O262" s="2">
        <v>229</v>
      </c>
      <c r="P262" s="2">
        <v>665</v>
      </c>
      <c r="Q262" s="2">
        <f t="shared" si="22"/>
        <v>229</v>
      </c>
      <c r="R262" s="2">
        <f t="shared" si="20"/>
        <v>894</v>
      </c>
      <c r="S262" t="str">
        <f t="shared" si="24"/>
        <v>Sedentary</v>
      </c>
      <c r="T262" s="2">
        <v>1491</v>
      </c>
    </row>
    <row r="263" spans="1:20" x14ac:dyDescent="0.25">
      <c r="A263" s="2">
        <v>2026352035</v>
      </c>
      <c r="B263" s="3">
        <v>42498</v>
      </c>
      <c r="C263" t="str">
        <f t="shared" si="21"/>
        <v>Sunday</v>
      </c>
      <c r="D263" t="str">
        <f t="shared" si="23"/>
        <v>Weekend</v>
      </c>
      <c r="E263" s="2">
        <v>5528</v>
      </c>
      <c r="F263" s="2">
        <v>3.4500000480000002</v>
      </c>
      <c r="G263" s="2">
        <v>3.4500000480000002</v>
      </c>
      <c r="H263" s="2">
        <v>0</v>
      </c>
      <c r="I263" s="2">
        <v>0</v>
      </c>
      <c r="J263" s="2">
        <v>0</v>
      </c>
      <c r="K263" s="2">
        <v>3.4500000480000002</v>
      </c>
      <c r="L263" s="2">
        <v>0</v>
      </c>
      <c r="M263" s="2">
        <v>0</v>
      </c>
      <c r="N263" s="2">
        <v>0</v>
      </c>
      <c r="O263" s="2">
        <v>258</v>
      </c>
      <c r="P263" s="2">
        <v>610</v>
      </c>
      <c r="Q263" s="2">
        <f t="shared" si="22"/>
        <v>258</v>
      </c>
      <c r="R263" s="2">
        <f t="shared" si="20"/>
        <v>868</v>
      </c>
      <c r="S263" t="str">
        <f t="shared" si="24"/>
        <v>Lightly Active</v>
      </c>
      <c r="T263" s="2">
        <v>1555</v>
      </c>
    </row>
    <row r="264" spans="1:20" x14ac:dyDescent="0.25">
      <c r="A264" s="2">
        <v>2026352035</v>
      </c>
      <c r="B264" s="3">
        <v>42499</v>
      </c>
      <c r="C264" t="str">
        <f t="shared" si="21"/>
        <v>Monday</v>
      </c>
      <c r="D264" t="str">
        <f t="shared" si="23"/>
        <v>Weekday</v>
      </c>
      <c r="E264" s="2">
        <v>10685</v>
      </c>
      <c r="F264" s="2">
        <v>6.6199998860000004</v>
      </c>
      <c r="G264" s="2">
        <v>6.6199998860000004</v>
      </c>
      <c r="H264" s="2">
        <v>0</v>
      </c>
      <c r="I264" s="2">
        <v>0</v>
      </c>
      <c r="J264" s="2">
        <v>0</v>
      </c>
      <c r="K264" s="2">
        <v>6.5999999049999998</v>
      </c>
      <c r="L264" s="2">
        <v>0</v>
      </c>
      <c r="M264" s="2">
        <v>0</v>
      </c>
      <c r="N264" s="2">
        <v>0</v>
      </c>
      <c r="O264" s="2">
        <v>401</v>
      </c>
      <c r="P264" s="2">
        <v>543</v>
      </c>
      <c r="Q264" s="2">
        <f t="shared" si="22"/>
        <v>401</v>
      </c>
      <c r="R264" s="2">
        <f t="shared" si="20"/>
        <v>944</v>
      </c>
      <c r="S264" t="str">
        <f t="shared" si="24"/>
        <v>Highly Active</v>
      </c>
      <c r="T264" s="2">
        <v>1869</v>
      </c>
    </row>
    <row r="265" spans="1:20" x14ac:dyDescent="0.25">
      <c r="A265" s="2">
        <v>2026352035</v>
      </c>
      <c r="B265" s="3">
        <v>42500</v>
      </c>
      <c r="C265" t="str">
        <f t="shared" si="21"/>
        <v>Tuesday</v>
      </c>
      <c r="D265" t="str">
        <f t="shared" si="23"/>
        <v>Weekday</v>
      </c>
      <c r="E265" s="2">
        <v>254</v>
      </c>
      <c r="F265" s="2">
        <v>0.15999999600000001</v>
      </c>
      <c r="G265" s="2">
        <v>0.15999999600000001</v>
      </c>
      <c r="H265" s="2">
        <v>0</v>
      </c>
      <c r="I265" s="2">
        <v>0</v>
      </c>
      <c r="J265" s="2">
        <v>0</v>
      </c>
      <c r="K265" s="2">
        <v>0.15999999600000001</v>
      </c>
      <c r="L265" s="2">
        <v>0</v>
      </c>
      <c r="M265" s="2">
        <v>0</v>
      </c>
      <c r="N265" s="2">
        <v>0</v>
      </c>
      <c r="O265" s="2">
        <v>17</v>
      </c>
      <c r="P265" s="2">
        <v>1002</v>
      </c>
      <c r="Q265" s="2">
        <f t="shared" si="22"/>
        <v>17</v>
      </c>
      <c r="R265" s="2">
        <f t="shared" si="20"/>
        <v>1019</v>
      </c>
      <c r="S265" t="str">
        <f t="shared" si="24"/>
        <v>Sedentary</v>
      </c>
      <c r="T265" s="2">
        <v>1141</v>
      </c>
    </row>
    <row r="266" spans="1:20" x14ac:dyDescent="0.25">
      <c r="A266" s="2">
        <v>2026352035</v>
      </c>
      <c r="B266" s="3">
        <v>42501</v>
      </c>
      <c r="C266" t="str">
        <f t="shared" si="21"/>
        <v>Wednesday</v>
      </c>
      <c r="D266" t="str">
        <f t="shared" si="23"/>
        <v>Weekday</v>
      </c>
      <c r="E266" s="2">
        <v>8580</v>
      </c>
      <c r="F266" s="2">
        <v>5.3200001720000003</v>
      </c>
      <c r="G266" s="2">
        <v>5.3200001720000003</v>
      </c>
      <c r="H266" s="2">
        <v>0</v>
      </c>
      <c r="I266" s="2">
        <v>0</v>
      </c>
      <c r="J266" s="2">
        <v>0</v>
      </c>
      <c r="K266" s="2">
        <v>5.3200001720000003</v>
      </c>
      <c r="L266" s="2">
        <v>0</v>
      </c>
      <c r="M266" s="2">
        <v>0</v>
      </c>
      <c r="N266" s="2">
        <v>0</v>
      </c>
      <c r="O266" s="2">
        <v>330</v>
      </c>
      <c r="P266" s="2">
        <v>569</v>
      </c>
      <c r="Q266" s="2">
        <f t="shared" si="22"/>
        <v>330</v>
      </c>
      <c r="R266" s="2">
        <f t="shared" si="20"/>
        <v>899</v>
      </c>
      <c r="S266" t="str">
        <f t="shared" si="24"/>
        <v>Fairly Active</v>
      </c>
      <c r="T266" s="2">
        <v>1698</v>
      </c>
    </row>
    <row r="267" spans="1:20" x14ac:dyDescent="0.25">
      <c r="A267" s="2">
        <v>2026352035</v>
      </c>
      <c r="B267" s="3">
        <v>42502</v>
      </c>
      <c r="C267" t="str">
        <f t="shared" si="21"/>
        <v>Thursday</v>
      </c>
      <c r="D267" t="str">
        <f t="shared" si="23"/>
        <v>Weekday</v>
      </c>
      <c r="E267" s="2">
        <v>8891</v>
      </c>
      <c r="F267" s="2">
        <v>5.5100002290000001</v>
      </c>
      <c r="G267" s="2">
        <v>5.5100002290000001</v>
      </c>
      <c r="H267" s="2">
        <v>0</v>
      </c>
      <c r="I267" s="2">
        <v>0</v>
      </c>
      <c r="J267" s="2">
        <v>0</v>
      </c>
      <c r="K267" s="2">
        <v>5.5100002290000001</v>
      </c>
      <c r="L267" s="2">
        <v>0</v>
      </c>
      <c r="M267" s="2">
        <v>0</v>
      </c>
      <c r="N267" s="2">
        <v>0</v>
      </c>
      <c r="O267" s="2">
        <v>343</v>
      </c>
      <c r="P267" s="2">
        <v>330</v>
      </c>
      <c r="Q267" s="2">
        <f t="shared" si="22"/>
        <v>343</v>
      </c>
      <c r="R267" s="2">
        <f t="shared" si="20"/>
        <v>673</v>
      </c>
      <c r="S267" t="str">
        <f t="shared" si="24"/>
        <v>Fairly Active</v>
      </c>
      <c r="T267" s="2">
        <v>1364</v>
      </c>
    </row>
    <row r="268" spans="1:20" x14ac:dyDescent="0.25">
      <c r="A268" s="2">
        <v>2320127002</v>
      </c>
      <c r="B268" s="3">
        <v>42465</v>
      </c>
      <c r="C268" t="str">
        <f t="shared" si="21"/>
        <v>Tuesday</v>
      </c>
      <c r="D268" t="str">
        <f t="shared" si="23"/>
        <v>Weekday</v>
      </c>
      <c r="E268" s="2">
        <v>4931</v>
      </c>
      <c r="F268" s="2">
        <v>3.3199999330000001</v>
      </c>
      <c r="G268" s="2">
        <v>3.3199999330000001</v>
      </c>
      <c r="H268" s="2">
        <v>0</v>
      </c>
      <c r="I268" s="2">
        <v>0</v>
      </c>
      <c r="J268" s="2">
        <v>0</v>
      </c>
      <c r="K268" s="2">
        <v>3.3199999330000001</v>
      </c>
      <c r="L268" s="2">
        <v>0</v>
      </c>
      <c r="M268" s="2">
        <v>0</v>
      </c>
      <c r="N268" s="2">
        <v>0</v>
      </c>
      <c r="O268" s="2">
        <v>175</v>
      </c>
      <c r="P268" s="2">
        <v>1265</v>
      </c>
      <c r="Q268" s="2">
        <f t="shared" si="22"/>
        <v>175</v>
      </c>
      <c r="R268" s="2">
        <f t="shared" si="20"/>
        <v>1440</v>
      </c>
      <c r="S268" t="str">
        <f t="shared" si="24"/>
        <v>Sedentary</v>
      </c>
      <c r="T268" s="2">
        <v>1708</v>
      </c>
    </row>
    <row r="269" spans="1:20" x14ac:dyDescent="0.25">
      <c r="A269" s="2">
        <v>2320127002</v>
      </c>
      <c r="B269" s="3">
        <v>42466</v>
      </c>
      <c r="C269" t="str">
        <f t="shared" si="21"/>
        <v>Wednesday</v>
      </c>
      <c r="D269" t="str">
        <f t="shared" si="23"/>
        <v>Weekday</v>
      </c>
      <c r="E269" s="2">
        <v>6999</v>
      </c>
      <c r="F269" s="2">
        <v>4.7199997900000001</v>
      </c>
      <c r="G269" s="2">
        <v>4.7199997900000001</v>
      </c>
      <c r="H269" s="2">
        <v>0</v>
      </c>
      <c r="I269" s="2">
        <v>0</v>
      </c>
      <c r="J269" s="2">
        <v>0</v>
      </c>
      <c r="K269" s="2">
        <v>4.7199997900000001</v>
      </c>
      <c r="L269" s="2">
        <v>0</v>
      </c>
      <c r="M269" s="2">
        <v>0</v>
      </c>
      <c r="N269" s="2">
        <v>0</v>
      </c>
      <c r="O269" s="2">
        <v>320</v>
      </c>
      <c r="P269" s="2">
        <v>1120</v>
      </c>
      <c r="Q269" s="2">
        <f t="shared" si="22"/>
        <v>320</v>
      </c>
      <c r="R269" s="2">
        <f t="shared" si="20"/>
        <v>1440</v>
      </c>
      <c r="S269" t="str">
        <f t="shared" si="24"/>
        <v>Lightly Active</v>
      </c>
      <c r="T269" s="2">
        <v>1950</v>
      </c>
    </row>
    <row r="270" spans="1:20" x14ac:dyDescent="0.25">
      <c r="A270" s="2">
        <v>2320127002</v>
      </c>
      <c r="B270" s="3">
        <v>42467</v>
      </c>
      <c r="C270" t="str">
        <f t="shared" si="21"/>
        <v>Thursday</v>
      </c>
      <c r="D270" t="str">
        <f t="shared" si="23"/>
        <v>Weekday</v>
      </c>
      <c r="E270" s="2">
        <v>1846</v>
      </c>
      <c r="F270" s="2">
        <v>1.2400000099999999</v>
      </c>
      <c r="G270" s="2">
        <v>1.2400000099999999</v>
      </c>
      <c r="H270" s="2">
        <v>0</v>
      </c>
      <c r="I270" s="2">
        <v>0</v>
      </c>
      <c r="J270" s="2">
        <v>0</v>
      </c>
      <c r="K270" s="2">
        <v>1.2400000099999999</v>
      </c>
      <c r="L270" s="2">
        <v>0</v>
      </c>
      <c r="M270" s="2">
        <v>0</v>
      </c>
      <c r="N270" s="2">
        <v>0</v>
      </c>
      <c r="O270" s="2">
        <v>93</v>
      </c>
      <c r="P270" s="2">
        <v>1347</v>
      </c>
      <c r="Q270" s="2">
        <f t="shared" si="22"/>
        <v>93</v>
      </c>
      <c r="R270" s="2">
        <f t="shared" si="20"/>
        <v>1440</v>
      </c>
      <c r="S270" t="str">
        <f t="shared" si="24"/>
        <v>Sedentary</v>
      </c>
      <c r="T270" s="2">
        <v>1508</v>
      </c>
    </row>
    <row r="271" spans="1:20" x14ac:dyDescent="0.25">
      <c r="A271" s="2">
        <v>2320127002</v>
      </c>
      <c r="B271" s="3">
        <v>42468</v>
      </c>
      <c r="C271" t="str">
        <f t="shared" si="21"/>
        <v>Friday</v>
      </c>
      <c r="D271" t="str">
        <f t="shared" si="23"/>
        <v>Weekday</v>
      </c>
      <c r="E271" s="2">
        <v>3417</v>
      </c>
      <c r="F271" s="2">
        <v>2.2999999519999998</v>
      </c>
      <c r="G271" s="2">
        <v>2.2999999519999998</v>
      </c>
      <c r="H271" s="2">
        <v>0</v>
      </c>
      <c r="I271" s="2">
        <v>0</v>
      </c>
      <c r="J271" s="2">
        <v>0</v>
      </c>
      <c r="K271" s="2">
        <v>2.2999999519999998</v>
      </c>
      <c r="L271" s="2">
        <v>0</v>
      </c>
      <c r="M271" s="2">
        <v>0</v>
      </c>
      <c r="N271" s="2">
        <v>0</v>
      </c>
      <c r="O271" s="2">
        <v>153</v>
      </c>
      <c r="P271" s="2">
        <v>1287</v>
      </c>
      <c r="Q271" s="2">
        <f t="shared" si="22"/>
        <v>153</v>
      </c>
      <c r="R271" s="2">
        <f t="shared" si="20"/>
        <v>1440</v>
      </c>
      <c r="S271" t="str">
        <f t="shared" si="24"/>
        <v>Sedentary</v>
      </c>
      <c r="T271" s="2">
        <v>1625</v>
      </c>
    </row>
    <row r="272" spans="1:20" x14ac:dyDescent="0.25">
      <c r="A272" s="2">
        <v>2320127002</v>
      </c>
      <c r="B272" s="3">
        <v>42469</v>
      </c>
      <c r="C272" t="str">
        <f t="shared" si="21"/>
        <v>Saturday</v>
      </c>
      <c r="D272" t="str">
        <f t="shared" si="23"/>
        <v>Weekend</v>
      </c>
      <c r="E272" s="2">
        <v>4863</v>
      </c>
      <c r="F272" s="2">
        <v>3.2799999710000001</v>
      </c>
      <c r="G272" s="2">
        <v>3.2799999710000001</v>
      </c>
      <c r="H272" s="2">
        <v>0</v>
      </c>
      <c r="I272" s="2">
        <v>5.9999998999999998E-2</v>
      </c>
      <c r="J272" s="2">
        <v>0.41999998700000002</v>
      </c>
      <c r="K272" s="2">
        <v>2.7999999519999998</v>
      </c>
      <c r="L272" s="2">
        <v>0</v>
      </c>
      <c r="M272" s="2">
        <v>1</v>
      </c>
      <c r="N272" s="2">
        <v>11</v>
      </c>
      <c r="O272" s="2">
        <v>208</v>
      </c>
      <c r="P272" s="2">
        <v>1220</v>
      </c>
      <c r="Q272" s="2">
        <f t="shared" si="22"/>
        <v>220</v>
      </c>
      <c r="R272" s="2">
        <f t="shared" si="20"/>
        <v>1440</v>
      </c>
      <c r="S272" t="str">
        <f t="shared" si="24"/>
        <v>Sedentary</v>
      </c>
      <c r="T272" s="2">
        <v>1772</v>
      </c>
    </row>
    <row r="273" spans="1:20" x14ac:dyDescent="0.25">
      <c r="A273" s="2">
        <v>2320127002</v>
      </c>
      <c r="B273" s="3">
        <v>42470</v>
      </c>
      <c r="C273" t="str">
        <f t="shared" si="21"/>
        <v>Sunday</v>
      </c>
      <c r="D273" t="str">
        <f t="shared" si="23"/>
        <v>Weekend</v>
      </c>
      <c r="E273" s="2">
        <v>2277</v>
      </c>
      <c r="F273" s="2">
        <v>1.5299999710000001</v>
      </c>
      <c r="G273" s="2">
        <v>1.5299999710000001</v>
      </c>
      <c r="H273" s="2">
        <v>0</v>
      </c>
      <c r="I273" s="2">
        <v>0</v>
      </c>
      <c r="J273" s="2">
        <v>0</v>
      </c>
      <c r="K273" s="2">
        <v>1.5299999710000001</v>
      </c>
      <c r="L273" s="2">
        <v>0</v>
      </c>
      <c r="M273" s="2">
        <v>0</v>
      </c>
      <c r="N273" s="2">
        <v>0</v>
      </c>
      <c r="O273" s="2">
        <v>103</v>
      </c>
      <c r="P273" s="2">
        <v>1337</v>
      </c>
      <c r="Q273" s="2">
        <f t="shared" si="22"/>
        <v>103</v>
      </c>
      <c r="R273" s="2">
        <f t="shared" si="20"/>
        <v>1440</v>
      </c>
      <c r="S273" t="str">
        <f t="shared" si="24"/>
        <v>Sedentary</v>
      </c>
      <c r="T273" s="2">
        <v>1530</v>
      </c>
    </row>
    <row r="274" spans="1:20" x14ac:dyDescent="0.25">
      <c r="A274" s="2">
        <v>2320127002</v>
      </c>
      <c r="B274" s="3">
        <v>42471</v>
      </c>
      <c r="C274" t="str">
        <f t="shared" si="21"/>
        <v>Monday</v>
      </c>
      <c r="D274" t="str">
        <f t="shared" si="23"/>
        <v>Weekday</v>
      </c>
      <c r="E274" s="2">
        <v>11230</v>
      </c>
      <c r="F274" s="2">
        <v>7.670000076</v>
      </c>
      <c r="G274" s="2">
        <v>7.670000076</v>
      </c>
      <c r="H274" s="2">
        <v>0</v>
      </c>
      <c r="I274" s="2">
        <v>0.88999998599999997</v>
      </c>
      <c r="J274" s="2">
        <v>0.119999997</v>
      </c>
      <c r="K274" s="2">
        <v>6.6599998469999999</v>
      </c>
      <c r="L274" s="2">
        <v>0</v>
      </c>
      <c r="M274" s="2">
        <v>10</v>
      </c>
      <c r="N274" s="2">
        <v>2</v>
      </c>
      <c r="O274" s="2">
        <v>390</v>
      </c>
      <c r="P274" s="2">
        <v>1038</v>
      </c>
      <c r="Q274" s="2">
        <f t="shared" si="22"/>
        <v>402</v>
      </c>
      <c r="R274" s="2">
        <f t="shared" si="20"/>
        <v>1440</v>
      </c>
      <c r="S274" t="str">
        <f t="shared" si="24"/>
        <v>Highly Active</v>
      </c>
      <c r="T274" s="2">
        <v>2206</v>
      </c>
    </row>
    <row r="275" spans="1:20" x14ac:dyDescent="0.25">
      <c r="A275" s="2">
        <v>2320127002</v>
      </c>
      <c r="B275" s="3">
        <v>42472</v>
      </c>
      <c r="C275" t="str">
        <f t="shared" si="21"/>
        <v>Tuesday</v>
      </c>
      <c r="D275" t="str">
        <f t="shared" si="23"/>
        <v>Weekday</v>
      </c>
      <c r="E275" s="2">
        <v>2098</v>
      </c>
      <c r="F275" s="2">
        <v>1.4099999670000001</v>
      </c>
      <c r="G275" s="2">
        <v>1.4099999670000001</v>
      </c>
      <c r="H275" s="2">
        <v>0</v>
      </c>
      <c r="I275" s="2">
        <v>0</v>
      </c>
      <c r="J275" s="2">
        <v>0</v>
      </c>
      <c r="K275" s="2">
        <v>1.4099999670000001</v>
      </c>
      <c r="L275" s="2">
        <v>0</v>
      </c>
      <c r="M275" s="2">
        <v>0</v>
      </c>
      <c r="N275" s="2">
        <v>0</v>
      </c>
      <c r="O275" s="2">
        <v>69</v>
      </c>
      <c r="P275" s="2">
        <v>617</v>
      </c>
      <c r="Q275" s="2">
        <f t="shared" si="22"/>
        <v>69</v>
      </c>
      <c r="R275" s="2">
        <f t="shared" si="20"/>
        <v>686</v>
      </c>
      <c r="S275" t="str">
        <f t="shared" si="24"/>
        <v>Sedentary</v>
      </c>
      <c r="T275" s="2">
        <v>790</v>
      </c>
    </row>
    <row r="276" spans="1:20" x14ac:dyDescent="0.25">
      <c r="A276" s="2">
        <v>2320127002</v>
      </c>
      <c r="B276" s="3">
        <v>42473</v>
      </c>
      <c r="C276" t="str">
        <f t="shared" si="21"/>
        <v>Wednesday</v>
      </c>
      <c r="D276" t="str">
        <f t="shared" si="23"/>
        <v>Weekday</v>
      </c>
      <c r="E276" s="2">
        <v>7275</v>
      </c>
      <c r="F276" s="2">
        <v>4.9000000950000002</v>
      </c>
      <c r="G276" s="2">
        <v>4.9000000950000002</v>
      </c>
      <c r="H276" s="2">
        <v>0</v>
      </c>
      <c r="I276" s="2">
        <v>0</v>
      </c>
      <c r="J276" s="2">
        <v>0</v>
      </c>
      <c r="K276" s="2">
        <v>4.9000000950000002</v>
      </c>
      <c r="L276" s="2">
        <v>0</v>
      </c>
      <c r="M276" s="2">
        <v>0</v>
      </c>
      <c r="N276" s="2">
        <v>0</v>
      </c>
      <c r="O276" s="2">
        <v>335</v>
      </c>
      <c r="P276" s="2">
        <v>1105</v>
      </c>
      <c r="Q276" s="2">
        <f t="shared" si="22"/>
        <v>335</v>
      </c>
      <c r="R276" s="2">
        <f t="shared" si="20"/>
        <v>1440</v>
      </c>
      <c r="S276" t="str">
        <f t="shared" si="24"/>
        <v>Lightly Active</v>
      </c>
      <c r="T276" s="2">
        <v>2003</v>
      </c>
    </row>
    <row r="277" spans="1:20" x14ac:dyDescent="0.25">
      <c r="A277" s="2">
        <v>2320127002</v>
      </c>
      <c r="B277" s="3">
        <v>42474</v>
      </c>
      <c r="C277" t="str">
        <f t="shared" si="21"/>
        <v>Thursday</v>
      </c>
      <c r="D277" t="str">
        <f t="shared" si="23"/>
        <v>Weekday</v>
      </c>
      <c r="E277" s="2">
        <v>3973</v>
      </c>
      <c r="F277" s="2">
        <v>2.6800000669999999</v>
      </c>
      <c r="G277" s="2">
        <v>2.6800000669999999</v>
      </c>
      <c r="H277" s="2">
        <v>0</v>
      </c>
      <c r="I277" s="2">
        <v>0</v>
      </c>
      <c r="J277" s="2">
        <v>0</v>
      </c>
      <c r="K277" s="2">
        <v>2.6800000669999999</v>
      </c>
      <c r="L277" s="2">
        <v>0</v>
      </c>
      <c r="M277" s="2">
        <v>0</v>
      </c>
      <c r="N277" s="2">
        <v>0</v>
      </c>
      <c r="O277" s="2">
        <v>191</v>
      </c>
      <c r="P277" s="2">
        <v>1249</v>
      </c>
      <c r="Q277" s="2">
        <f t="shared" si="22"/>
        <v>191</v>
      </c>
      <c r="R277" s="2">
        <f t="shared" si="20"/>
        <v>1440</v>
      </c>
      <c r="S277" t="str">
        <f t="shared" si="24"/>
        <v>Sedentary</v>
      </c>
      <c r="T277" s="2">
        <v>1696</v>
      </c>
    </row>
    <row r="278" spans="1:20" x14ac:dyDescent="0.25">
      <c r="A278" s="2">
        <v>2320127002</v>
      </c>
      <c r="B278" s="3">
        <v>42475</v>
      </c>
      <c r="C278" t="str">
        <f t="shared" si="21"/>
        <v>Friday</v>
      </c>
      <c r="D278" t="str">
        <f t="shared" si="23"/>
        <v>Weekday</v>
      </c>
      <c r="E278" s="2">
        <v>5205</v>
      </c>
      <c r="F278" s="2">
        <v>3.5099999899999998</v>
      </c>
      <c r="G278" s="2">
        <v>3.5099999899999998</v>
      </c>
      <c r="H278" s="2">
        <v>0</v>
      </c>
      <c r="I278" s="2">
        <v>0</v>
      </c>
      <c r="J278" s="2">
        <v>0</v>
      </c>
      <c r="K278" s="2">
        <v>3.5099999899999998</v>
      </c>
      <c r="L278" s="2">
        <v>0</v>
      </c>
      <c r="M278" s="2">
        <v>0</v>
      </c>
      <c r="N278" s="2">
        <v>0</v>
      </c>
      <c r="O278" s="2">
        <v>245</v>
      </c>
      <c r="P278" s="2">
        <v>1195</v>
      </c>
      <c r="Q278" s="2">
        <f t="shared" si="22"/>
        <v>245</v>
      </c>
      <c r="R278" s="2">
        <f t="shared" si="20"/>
        <v>1440</v>
      </c>
      <c r="S278" t="str">
        <f t="shared" si="24"/>
        <v>Lightly Active</v>
      </c>
      <c r="T278" s="2">
        <v>1801</v>
      </c>
    </row>
    <row r="279" spans="1:20" x14ac:dyDescent="0.25">
      <c r="A279" s="2">
        <v>2320127002</v>
      </c>
      <c r="B279" s="3">
        <v>42476</v>
      </c>
      <c r="C279" t="str">
        <f t="shared" si="21"/>
        <v>Saturday</v>
      </c>
      <c r="D279" t="str">
        <f t="shared" si="23"/>
        <v>Weekend</v>
      </c>
      <c r="E279" s="2">
        <v>5057</v>
      </c>
      <c r="F279" s="2">
        <v>3.4100000860000002</v>
      </c>
      <c r="G279" s="2">
        <v>3.4100000860000002</v>
      </c>
      <c r="H279" s="2">
        <v>0</v>
      </c>
      <c r="I279" s="2">
        <v>0</v>
      </c>
      <c r="J279" s="2">
        <v>0</v>
      </c>
      <c r="K279" s="2">
        <v>3.4000000950000002</v>
      </c>
      <c r="L279" s="2">
        <v>0</v>
      </c>
      <c r="M279" s="2">
        <v>0</v>
      </c>
      <c r="N279" s="2">
        <v>0</v>
      </c>
      <c r="O279" s="2">
        <v>195</v>
      </c>
      <c r="P279" s="2">
        <v>1245</v>
      </c>
      <c r="Q279" s="2">
        <f t="shared" si="22"/>
        <v>195</v>
      </c>
      <c r="R279" s="2">
        <f t="shared" si="20"/>
        <v>1440</v>
      </c>
      <c r="S279" t="str">
        <f t="shared" si="24"/>
        <v>Lightly Active</v>
      </c>
      <c r="T279" s="2">
        <v>1724</v>
      </c>
    </row>
    <row r="280" spans="1:20" x14ac:dyDescent="0.25">
      <c r="A280" s="2">
        <v>2320127002</v>
      </c>
      <c r="B280" s="3">
        <v>42477</v>
      </c>
      <c r="C280" t="str">
        <f t="shared" si="21"/>
        <v>Sunday</v>
      </c>
      <c r="D280" t="str">
        <f t="shared" si="23"/>
        <v>Weekend</v>
      </c>
      <c r="E280" s="2">
        <v>6198</v>
      </c>
      <c r="F280" s="2">
        <v>4.1799998279999997</v>
      </c>
      <c r="G280" s="2">
        <v>4.1799998279999997</v>
      </c>
      <c r="H280" s="2">
        <v>0</v>
      </c>
      <c r="I280" s="2">
        <v>0</v>
      </c>
      <c r="J280" s="2">
        <v>0</v>
      </c>
      <c r="K280" s="2">
        <v>4.1799998279999997</v>
      </c>
      <c r="L280" s="2">
        <v>0</v>
      </c>
      <c r="M280" s="2">
        <v>0</v>
      </c>
      <c r="N280" s="2">
        <v>0</v>
      </c>
      <c r="O280" s="2">
        <v>249</v>
      </c>
      <c r="P280" s="2">
        <v>1191</v>
      </c>
      <c r="Q280" s="2">
        <f t="shared" si="22"/>
        <v>249</v>
      </c>
      <c r="R280" s="2">
        <f t="shared" si="20"/>
        <v>1440</v>
      </c>
      <c r="S280" t="str">
        <f t="shared" si="24"/>
        <v>Lightly Active</v>
      </c>
      <c r="T280" s="2">
        <v>1852</v>
      </c>
    </row>
    <row r="281" spans="1:20" x14ac:dyDescent="0.25">
      <c r="A281" s="2">
        <v>2320127002</v>
      </c>
      <c r="B281" s="3">
        <v>42478</v>
      </c>
      <c r="C281" t="str">
        <f t="shared" si="21"/>
        <v>Monday</v>
      </c>
      <c r="D281" t="str">
        <f t="shared" si="23"/>
        <v>Weekday</v>
      </c>
      <c r="E281" s="2">
        <v>6559</v>
      </c>
      <c r="F281" s="2">
        <v>4.420000076</v>
      </c>
      <c r="G281" s="2">
        <v>4.420000076</v>
      </c>
      <c r="H281" s="2">
        <v>0</v>
      </c>
      <c r="I281" s="2">
        <v>0</v>
      </c>
      <c r="J281" s="2">
        <v>0.25999999000000001</v>
      </c>
      <c r="K281" s="2">
        <v>4.1399998660000001</v>
      </c>
      <c r="L281" s="2">
        <v>0</v>
      </c>
      <c r="M281" s="2">
        <v>0</v>
      </c>
      <c r="N281" s="2">
        <v>7</v>
      </c>
      <c r="O281" s="2">
        <v>260</v>
      </c>
      <c r="P281" s="2">
        <v>1173</v>
      </c>
      <c r="Q281" s="2">
        <f t="shared" si="22"/>
        <v>267</v>
      </c>
      <c r="R281" s="2">
        <f t="shared" si="20"/>
        <v>1440</v>
      </c>
      <c r="S281" t="str">
        <f t="shared" si="24"/>
        <v>Lightly Active</v>
      </c>
      <c r="T281" s="2">
        <v>1905</v>
      </c>
    </row>
    <row r="282" spans="1:20" x14ac:dyDescent="0.25">
      <c r="A282" s="2">
        <v>2320127002</v>
      </c>
      <c r="B282" s="3">
        <v>42479</v>
      </c>
      <c r="C282" t="str">
        <f t="shared" si="21"/>
        <v>Tuesday</v>
      </c>
      <c r="D282" t="str">
        <f t="shared" si="23"/>
        <v>Weekday</v>
      </c>
      <c r="E282" s="2">
        <v>5997</v>
      </c>
      <c r="F282" s="2">
        <v>4.0399999619999996</v>
      </c>
      <c r="G282" s="2">
        <v>4.0399999619999996</v>
      </c>
      <c r="H282" s="2">
        <v>0</v>
      </c>
      <c r="I282" s="2">
        <v>0</v>
      </c>
      <c r="J282" s="2">
        <v>0.37999999499999998</v>
      </c>
      <c r="K282" s="2">
        <v>3.6600000860000002</v>
      </c>
      <c r="L282" s="2">
        <v>0</v>
      </c>
      <c r="M282" s="2">
        <v>0</v>
      </c>
      <c r="N282" s="2">
        <v>11</v>
      </c>
      <c r="O282" s="2">
        <v>228</v>
      </c>
      <c r="P282" s="2">
        <v>1201</v>
      </c>
      <c r="Q282" s="2">
        <f t="shared" si="22"/>
        <v>239</v>
      </c>
      <c r="R282" s="2">
        <f t="shared" si="20"/>
        <v>1440</v>
      </c>
      <c r="S282" t="str">
        <f t="shared" si="24"/>
        <v>Lightly Active</v>
      </c>
      <c r="T282" s="2">
        <v>1811</v>
      </c>
    </row>
    <row r="283" spans="1:20" x14ac:dyDescent="0.25">
      <c r="A283" s="2">
        <v>2320127002</v>
      </c>
      <c r="B283" s="3">
        <v>42480</v>
      </c>
      <c r="C283" t="str">
        <f t="shared" si="21"/>
        <v>Wednesday</v>
      </c>
      <c r="D283" t="str">
        <f t="shared" si="23"/>
        <v>Weekday</v>
      </c>
      <c r="E283" s="2">
        <v>7192</v>
      </c>
      <c r="F283" s="2">
        <v>4.8499999049999998</v>
      </c>
      <c r="G283" s="2">
        <v>4.8499999049999998</v>
      </c>
      <c r="H283" s="2">
        <v>0</v>
      </c>
      <c r="I283" s="2">
        <v>0</v>
      </c>
      <c r="J283" s="2">
        <v>0.49000000999999999</v>
      </c>
      <c r="K283" s="2">
        <v>4.3400001530000001</v>
      </c>
      <c r="L283" s="2">
        <v>0</v>
      </c>
      <c r="M283" s="2">
        <v>0</v>
      </c>
      <c r="N283" s="2">
        <v>11</v>
      </c>
      <c r="O283" s="2">
        <v>283</v>
      </c>
      <c r="P283" s="2">
        <v>1146</v>
      </c>
      <c r="Q283" s="2">
        <f t="shared" si="22"/>
        <v>294</v>
      </c>
      <c r="R283" s="2">
        <f t="shared" si="20"/>
        <v>1440</v>
      </c>
      <c r="S283" t="str">
        <f t="shared" si="24"/>
        <v>Lightly Active</v>
      </c>
      <c r="T283" s="2">
        <v>1922</v>
      </c>
    </row>
    <row r="284" spans="1:20" x14ac:dyDescent="0.25">
      <c r="A284" s="2">
        <v>2320127002</v>
      </c>
      <c r="B284" s="3">
        <v>42481</v>
      </c>
      <c r="C284" t="str">
        <f t="shared" si="21"/>
        <v>Thursday</v>
      </c>
      <c r="D284" t="str">
        <f t="shared" si="23"/>
        <v>Weekday</v>
      </c>
      <c r="E284" s="2">
        <v>3404</v>
      </c>
      <c r="F284" s="2">
        <v>2.289999962</v>
      </c>
      <c r="G284" s="2">
        <v>2.289999962</v>
      </c>
      <c r="H284" s="2">
        <v>0</v>
      </c>
      <c r="I284" s="2">
        <v>5.9999998999999998E-2</v>
      </c>
      <c r="J284" s="2">
        <v>0.41999998700000002</v>
      </c>
      <c r="K284" s="2">
        <v>1.809999943</v>
      </c>
      <c r="L284" s="2">
        <v>0</v>
      </c>
      <c r="M284" s="2">
        <v>1</v>
      </c>
      <c r="N284" s="2">
        <v>10</v>
      </c>
      <c r="O284" s="2">
        <v>127</v>
      </c>
      <c r="P284" s="2">
        <v>1302</v>
      </c>
      <c r="Q284" s="2">
        <f t="shared" si="22"/>
        <v>138</v>
      </c>
      <c r="R284" s="2">
        <f t="shared" si="20"/>
        <v>1440</v>
      </c>
      <c r="S284" t="str">
        <f t="shared" si="24"/>
        <v>Sedentary</v>
      </c>
      <c r="T284" s="2">
        <v>1610</v>
      </c>
    </row>
    <row r="285" spans="1:20" x14ac:dyDescent="0.25">
      <c r="A285" s="2">
        <v>2320127002</v>
      </c>
      <c r="B285" s="3">
        <v>42482</v>
      </c>
      <c r="C285" t="str">
        <f t="shared" si="21"/>
        <v>Friday</v>
      </c>
      <c r="D285" t="str">
        <f t="shared" si="23"/>
        <v>Weekday</v>
      </c>
      <c r="E285" s="2">
        <v>5583</v>
      </c>
      <c r="F285" s="2">
        <v>3.7599999899999998</v>
      </c>
      <c r="G285" s="2">
        <v>3.7599999899999998</v>
      </c>
      <c r="H285" s="2">
        <v>0</v>
      </c>
      <c r="I285" s="2">
        <v>0</v>
      </c>
      <c r="J285" s="2">
        <v>0</v>
      </c>
      <c r="K285" s="2">
        <v>3.7599999899999998</v>
      </c>
      <c r="L285" s="2">
        <v>0</v>
      </c>
      <c r="M285" s="2">
        <v>0</v>
      </c>
      <c r="N285" s="2">
        <v>0</v>
      </c>
      <c r="O285" s="2">
        <v>266</v>
      </c>
      <c r="P285" s="2">
        <v>1174</v>
      </c>
      <c r="Q285" s="2">
        <f t="shared" si="22"/>
        <v>266</v>
      </c>
      <c r="R285" s="2">
        <f t="shared" si="20"/>
        <v>1440</v>
      </c>
      <c r="S285" t="str">
        <f t="shared" si="24"/>
        <v>Lightly Active</v>
      </c>
      <c r="T285" s="2">
        <v>1851</v>
      </c>
    </row>
    <row r="286" spans="1:20" x14ac:dyDescent="0.25">
      <c r="A286" s="2">
        <v>2320127002</v>
      </c>
      <c r="B286" s="3">
        <v>42483</v>
      </c>
      <c r="C286" t="str">
        <f t="shared" si="21"/>
        <v>Saturday</v>
      </c>
      <c r="D286" t="str">
        <f t="shared" si="23"/>
        <v>Weekend</v>
      </c>
      <c r="E286" s="2">
        <v>5079</v>
      </c>
      <c r="F286" s="2">
        <v>3.420000076</v>
      </c>
      <c r="G286" s="2">
        <v>3.420000076</v>
      </c>
      <c r="H286" s="2">
        <v>0</v>
      </c>
      <c r="I286" s="2">
        <v>0</v>
      </c>
      <c r="J286" s="2">
        <v>0</v>
      </c>
      <c r="K286" s="2">
        <v>3.420000076</v>
      </c>
      <c r="L286" s="2">
        <v>0</v>
      </c>
      <c r="M286" s="2">
        <v>0</v>
      </c>
      <c r="N286" s="2">
        <v>0</v>
      </c>
      <c r="O286" s="2">
        <v>242</v>
      </c>
      <c r="P286" s="2">
        <v>1129</v>
      </c>
      <c r="Q286" s="2">
        <f t="shared" si="22"/>
        <v>242</v>
      </c>
      <c r="R286" s="2">
        <f t="shared" si="20"/>
        <v>1371</v>
      </c>
      <c r="S286" t="str">
        <f t="shared" si="24"/>
        <v>Lightly Active</v>
      </c>
      <c r="T286" s="2">
        <v>1804</v>
      </c>
    </row>
    <row r="287" spans="1:20" x14ac:dyDescent="0.25">
      <c r="A287" s="2">
        <v>2320127002</v>
      </c>
      <c r="B287" s="3">
        <v>42484</v>
      </c>
      <c r="C287" t="str">
        <f t="shared" si="21"/>
        <v>Sunday</v>
      </c>
      <c r="D287" t="str">
        <f t="shared" si="23"/>
        <v>Weekend</v>
      </c>
      <c r="E287" s="2">
        <v>4165</v>
      </c>
      <c r="F287" s="2">
        <v>2.8099999430000002</v>
      </c>
      <c r="G287" s="2">
        <v>2.8099999430000002</v>
      </c>
      <c r="H287" s="2">
        <v>0</v>
      </c>
      <c r="I287" s="2">
        <v>0</v>
      </c>
      <c r="J287" s="2">
        <v>0</v>
      </c>
      <c r="K287" s="2">
        <v>2.7999999519999998</v>
      </c>
      <c r="L287" s="2">
        <v>0</v>
      </c>
      <c r="M287" s="2">
        <v>0</v>
      </c>
      <c r="N287" s="2">
        <v>0</v>
      </c>
      <c r="O287" s="2">
        <v>204</v>
      </c>
      <c r="P287" s="2">
        <v>1236</v>
      </c>
      <c r="Q287" s="2">
        <f t="shared" si="22"/>
        <v>204</v>
      </c>
      <c r="R287" s="2">
        <f t="shared" si="20"/>
        <v>1440</v>
      </c>
      <c r="S287" t="str">
        <f t="shared" si="24"/>
        <v>Sedentary</v>
      </c>
      <c r="T287" s="2">
        <v>1725</v>
      </c>
    </row>
    <row r="288" spans="1:20" x14ac:dyDescent="0.25">
      <c r="A288" s="2">
        <v>2320127002</v>
      </c>
      <c r="B288" s="3">
        <v>42485</v>
      </c>
      <c r="C288" t="str">
        <f t="shared" si="21"/>
        <v>Monday</v>
      </c>
      <c r="D288" t="str">
        <f t="shared" si="23"/>
        <v>Weekday</v>
      </c>
      <c r="E288" s="2">
        <v>3588</v>
      </c>
      <c r="F288" s="2">
        <v>2.420000076</v>
      </c>
      <c r="G288" s="2">
        <v>2.420000076</v>
      </c>
      <c r="H288" s="2">
        <v>0</v>
      </c>
      <c r="I288" s="2">
        <v>0.23000000400000001</v>
      </c>
      <c r="J288" s="2">
        <v>0.20000000300000001</v>
      </c>
      <c r="K288" s="2">
        <v>1.9900000099999999</v>
      </c>
      <c r="L288" s="2">
        <v>0</v>
      </c>
      <c r="M288" s="2">
        <v>3</v>
      </c>
      <c r="N288" s="2">
        <v>5</v>
      </c>
      <c r="O288" s="2">
        <v>152</v>
      </c>
      <c r="P288" s="2">
        <v>1280</v>
      </c>
      <c r="Q288" s="2">
        <f t="shared" si="22"/>
        <v>160</v>
      </c>
      <c r="R288" s="2">
        <f t="shared" si="20"/>
        <v>1440</v>
      </c>
      <c r="S288" t="str">
        <f t="shared" si="24"/>
        <v>Sedentary</v>
      </c>
      <c r="T288" s="2">
        <v>1654</v>
      </c>
    </row>
    <row r="289" spans="1:20" x14ac:dyDescent="0.25">
      <c r="A289" s="2">
        <v>2320127002</v>
      </c>
      <c r="B289" s="3">
        <v>42486</v>
      </c>
      <c r="C289" t="str">
        <f t="shared" si="21"/>
        <v>Tuesday</v>
      </c>
      <c r="D289" t="str">
        <f t="shared" si="23"/>
        <v>Weekday</v>
      </c>
      <c r="E289" s="2">
        <v>3409</v>
      </c>
      <c r="F289" s="2">
        <v>2.2999999519999998</v>
      </c>
      <c r="G289" s="2">
        <v>2.2999999519999998</v>
      </c>
      <c r="H289" s="2">
        <v>0</v>
      </c>
      <c r="I289" s="2">
        <v>0</v>
      </c>
      <c r="J289" s="2">
        <v>0</v>
      </c>
      <c r="K289" s="2">
        <v>2.2999999519999998</v>
      </c>
      <c r="L289" s="2">
        <v>0</v>
      </c>
      <c r="M289" s="2">
        <v>0</v>
      </c>
      <c r="N289" s="2">
        <v>0</v>
      </c>
      <c r="O289" s="2">
        <v>147</v>
      </c>
      <c r="P289" s="2">
        <v>1293</v>
      </c>
      <c r="Q289" s="2">
        <f t="shared" si="22"/>
        <v>147</v>
      </c>
      <c r="R289" s="2">
        <f t="shared" si="20"/>
        <v>1440</v>
      </c>
      <c r="S289" t="str">
        <f t="shared" si="24"/>
        <v>Sedentary</v>
      </c>
      <c r="T289" s="2">
        <v>1632</v>
      </c>
    </row>
    <row r="290" spans="1:20" x14ac:dyDescent="0.25">
      <c r="A290" s="2">
        <v>2320127002</v>
      </c>
      <c r="B290" s="3">
        <v>42487</v>
      </c>
      <c r="C290" t="str">
        <f t="shared" si="21"/>
        <v>Wednesday</v>
      </c>
      <c r="D290" t="str">
        <f t="shared" si="23"/>
        <v>Weekday</v>
      </c>
      <c r="E290" s="2">
        <v>1715</v>
      </c>
      <c r="F290" s="2">
        <v>1.1599999670000001</v>
      </c>
      <c r="G290" s="2">
        <v>1.1599999670000001</v>
      </c>
      <c r="H290" s="2">
        <v>0</v>
      </c>
      <c r="I290" s="2">
        <v>0</v>
      </c>
      <c r="J290" s="2">
        <v>0</v>
      </c>
      <c r="K290" s="2">
        <v>1.1599999670000001</v>
      </c>
      <c r="L290" s="2">
        <v>0</v>
      </c>
      <c r="M290" s="2">
        <v>0</v>
      </c>
      <c r="N290" s="2">
        <v>0</v>
      </c>
      <c r="O290" s="2">
        <v>82</v>
      </c>
      <c r="P290" s="2">
        <v>1358</v>
      </c>
      <c r="Q290" s="2">
        <f t="shared" si="22"/>
        <v>82</v>
      </c>
      <c r="R290" s="2">
        <f t="shared" si="20"/>
        <v>1440</v>
      </c>
      <c r="S290" t="str">
        <f t="shared" si="24"/>
        <v>Sedentary</v>
      </c>
      <c r="T290" s="2">
        <v>1481</v>
      </c>
    </row>
    <row r="291" spans="1:20" x14ac:dyDescent="0.25">
      <c r="A291" s="2">
        <v>2320127002</v>
      </c>
      <c r="B291" s="3">
        <v>42488</v>
      </c>
      <c r="C291" t="str">
        <f t="shared" si="21"/>
        <v>Thursday</v>
      </c>
      <c r="D291" t="str">
        <f t="shared" si="23"/>
        <v>Weekday</v>
      </c>
      <c r="E291" s="2">
        <v>1532</v>
      </c>
      <c r="F291" s="2">
        <v>1.0299999710000001</v>
      </c>
      <c r="G291" s="2">
        <v>1.0299999710000001</v>
      </c>
      <c r="H291" s="2">
        <v>0</v>
      </c>
      <c r="I291" s="2">
        <v>0</v>
      </c>
      <c r="J291" s="2">
        <v>0</v>
      </c>
      <c r="K291" s="2">
        <v>1.0299999710000001</v>
      </c>
      <c r="L291" s="2">
        <v>0</v>
      </c>
      <c r="M291" s="2">
        <v>0</v>
      </c>
      <c r="N291" s="2">
        <v>0</v>
      </c>
      <c r="O291" s="2">
        <v>76</v>
      </c>
      <c r="P291" s="2">
        <v>1364</v>
      </c>
      <c r="Q291" s="2">
        <f t="shared" si="22"/>
        <v>76</v>
      </c>
      <c r="R291" s="2">
        <f t="shared" si="20"/>
        <v>1440</v>
      </c>
      <c r="S291" t="str">
        <f t="shared" si="24"/>
        <v>Sedentary</v>
      </c>
      <c r="T291" s="2">
        <v>1473</v>
      </c>
    </row>
    <row r="292" spans="1:20" x14ac:dyDescent="0.25">
      <c r="A292" s="2">
        <v>2320127002</v>
      </c>
      <c r="B292" s="3">
        <v>42489</v>
      </c>
      <c r="C292" t="str">
        <f t="shared" si="21"/>
        <v>Friday</v>
      </c>
      <c r="D292" t="str">
        <f t="shared" si="23"/>
        <v>Weekday</v>
      </c>
      <c r="E292" s="2">
        <v>924</v>
      </c>
      <c r="F292" s="2">
        <v>0.62000000499999997</v>
      </c>
      <c r="G292" s="2">
        <v>0.62000000499999997</v>
      </c>
      <c r="H292" s="2">
        <v>0</v>
      </c>
      <c r="I292" s="2">
        <v>0</v>
      </c>
      <c r="J292" s="2">
        <v>0</v>
      </c>
      <c r="K292" s="2">
        <v>0.62000000499999997</v>
      </c>
      <c r="L292" s="2">
        <v>0</v>
      </c>
      <c r="M292" s="2">
        <v>0</v>
      </c>
      <c r="N292" s="2">
        <v>0</v>
      </c>
      <c r="O292" s="2">
        <v>45</v>
      </c>
      <c r="P292" s="2">
        <v>1395</v>
      </c>
      <c r="Q292" s="2">
        <f t="shared" si="22"/>
        <v>45</v>
      </c>
      <c r="R292" s="2">
        <f t="shared" si="20"/>
        <v>1440</v>
      </c>
      <c r="S292" t="str">
        <f t="shared" si="24"/>
        <v>Sedentary</v>
      </c>
      <c r="T292" s="2">
        <v>1410</v>
      </c>
    </row>
    <row r="293" spans="1:20" x14ac:dyDescent="0.25">
      <c r="A293" s="2">
        <v>2320127002</v>
      </c>
      <c r="B293" s="3">
        <v>42490</v>
      </c>
      <c r="C293" t="str">
        <f t="shared" si="21"/>
        <v>Saturday</v>
      </c>
      <c r="D293" t="str">
        <f t="shared" si="23"/>
        <v>Weekend</v>
      </c>
      <c r="E293" s="2">
        <v>4571</v>
      </c>
      <c r="F293" s="2">
        <v>3.079999924</v>
      </c>
      <c r="G293" s="2">
        <v>3.079999924</v>
      </c>
      <c r="H293" s="2">
        <v>0</v>
      </c>
      <c r="I293" s="2">
        <v>0</v>
      </c>
      <c r="J293" s="2">
        <v>0</v>
      </c>
      <c r="K293" s="2">
        <v>3.0699999330000001</v>
      </c>
      <c r="L293" s="2">
        <v>0</v>
      </c>
      <c r="M293" s="2">
        <v>0</v>
      </c>
      <c r="N293" s="2">
        <v>0</v>
      </c>
      <c r="O293" s="2">
        <v>234</v>
      </c>
      <c r="P293" s="2">
        <v>1206</v>
      </c>
      <c r="Q293" s="2">
        <f t="shared" si="22"/>
        <v>234</v>
      </c>
      <c r="R293" s="2">
        <f t="shared" si="20"/>
        <v>1440</v>
      </c>
      <c r="S293" t="str">
        <f t="shared" si="24"/>
        <v>Sedentary</v>
      </c>
      <c r="T293" s="2">
        <v>1779</v>
      </c>
    </row>
    <row r="294" spans="1:20" x14ac:dyDescent="0.25">
      <c r="A294" s="2">
        <v>2320127002</v>
      </c>
      <c r="B294" s="3">
        <v>42491</v>
      </c>
      <c r="C294" t="str">
        <f t="shared" si="21"/>
        <v>Sunday</v>
      </c>
      <c r="D294" t="str">
        <f t="shared" si="23"/>
        <v>Weekend</v>
      </c>
      <c r="E294" s="2">
        <v>772</v>
      </c>
      <c r="F294" s="2">
        <v>0.519999981</v>
      </c>
      <c r="G294" s="2">
        <v>0.519999981</v>
      </c>
      <c r="H294" s="2">
        <v>0</v>
      </c>
      <c r="I294" s="2">
        <v>0</v>
      </c>
      <c r="J294" s="2">
        <v>0</v>
      </c>
      <c r="K294" s="2">
        <v>0.519999981</v>
      </c>
      <c r="L294" s="2">
        <v>0</v>
      </c>
      <c r="M294" s="2">
        <v>0</v>
      </c>
      <c r="N294" s="2">
        <v>0</v>
      </c>
      <c r="O294" s="2">
        <v>40</v>
      </c>
      <c r="P294" s="2">
        <v>1400</v>
      </c>
      <c r="Q294" s="2">
        <f t="shared" si="22"/>
        <v>40</v>
      </c>
      <c r="R294" s="2">
        <f t="shared" si="20"/>
        <v>1440</v>
      </c>
      <c r="S294" t="str">
        <f t="shared" si="24"/>
        <v>Sedentary</v>
      </c>
      <c r="T294" s="2">
        <v>1403</v>
      </c>
    </row>
    <row r="295" spans="1:20" x14ac:dyDescent="0.25">
      <c r="A295" s="2">
        <v>2320127002</v>
      </c>
      <c r="B295" s="3">
        <v>42492</v>
      </c>
      <c r="C295" t="str">
        <f t="shared" si="21"/>
        <v>Monday</v>
      </c>
      <c r="D295" t="str">
        <f t="shared" si="23"/>
        <v>Weekday</v>
      </c>
      <c r="E295" s="2">
        <v>3634</v>
      </c>
      <c r="F295" s="2">
        <v>2.4500000480000002</v>
      </c>
      <c r="G295" s="2">
        <v>2.4500000480000002</v>
      </c>
      <c r="H295" s="2">
        <v>0</v>
      </c>
      <c r="I295" s="2">
        <v>0.36000001399999998</v>
      </c>
      <c r="J295" s="2">
        <v>0.209999993</v>
      </c>
      <c r="K295" s="2">
        <v>1.8799999949999999</v>
      </c>
      <c r="L295" s="2">
        <v>0</v>
      </c>
      <c r="M295" s="2">
        <v>5</v>
      </c>
      <c r="N295" s="2">
        <v>6</v>
      </c>
      <c r="O295" s="2">
        <v>123</v>
      </c>
      <c r="P295" s="2">
        <v>1306</v>
      </c>
      <c r="Q295" s="2">
        <f t="shared" si="22"/>
        <v>134</v>
      </c>
      <c r="R295" s="2">
        <f t="shared" si="20"/>
        <v>1440</v>
      </c>
      <c r="S295" t="str">
        <f t="shared" si="24"/>
        <v>Sedentary</v>
      </c>
      <c r="T295" s="2">
        <v>1613</v>
      </c>
    </row>
    <row r="296" spans="1:20" x14ac:dyDescent="0.25">
      <c r="A296" s="2">
        <v>2320127002</v>
      </c>
      <c r="B296" s="3">
        <v>42493</v>
      </c>
      <c r="C296" t="str">
        <f t="shared" si="21"/>
        <v>Tuesday</v>
      </c>
      <c r="D296" t="str">
        <f t="shared" si="23"/>
        <v>Weekday</v>
      </c>
      <c r="E296" s="2">
        <v>7443</v>
      </c>
      <c r="F296" s="2">
        <v>5.0199999809999998</v>
      </c>
      <c r="G296" s="2">
        <v>5.0199999809999998</v>
      </c>
      <c r="H296" s="2">
        <v>0</v>
      </c>
      <c r="I296" s="2">
        <v>1.4900000099999999</v>
      </c>
      <c r="J296" s="2">
        <v>0.37000000500000002</v>
      </c>
      <c r="K296" s="2">
        <v>3.1600000860000002</v>
      </c>
      <c r="L296" s="2">
        <v>0</v>
      </c>
      <c r="M296" s="2">
        <v>20</v>
      </c>
      <c r="N296" s="2">
        <v>10</v>
      </c>
      <c r="O296" s="2">
        <v>206</v>
      </c>
      <c r="P296" s="2">
        <v>1204</v>
      </c>
      <c r="Q296" s="2">
        <f t="shared" si="22"/>
        <v>236</v>
      </c>
      <c r="R296" s="2">
        <f t="shared" si="20"/>
        <v>1440</v>
      </c>
      <c r="S296" t="str">
        <f t="shared" si="24"/>
        <v>Lightly Active</v>
      </c>
      <c r="T296" s="2">
        <v>1878</v>
      </c>
    </row>
    <row r="297" spans="1:20" x14ac:dyDescent="0.25">
      <c r="A297" s="2">
        <v>2320127002</v>
      </c>
      <c r="B297" s="3">
        <v>42494</v>
      </c>
      <c r="C297" t="str">
        <f t="shared" si="21"/>
        <v>Wednesday</v>
      </c>
      <c r="D297" t="str">
        <f t="shared" si="23"/>
        <v>Weekday</v>
      </c>
      <c r="E297" s="2">
        <v>1201</v>
      </c>
      <c r="F297" s="2">
        <v>0.810000002</v>
      </c>
      <c r="G297" s="2">
        <v>0.810000002</v>
      </c>
      <c r="H297" s="2">
        <v>0</v>
      </c>
      <c r="I297" s="2">
        <v>0</v>
      </c>
      <c r="J297" s="2">
        <v>0</v>
      </c>
      <c r="K297" s="2">
        <v>0.810000002</v>
      </c>
      <c r="L297" s="2">
        <v>0</v>
      </c>
      <c r="M297" s="2">
        <v>0</v>
      </c>
      <c r="N297" s="2">
        <v>0</v>
      </c>
      <c r="O297" s="2">
        <v>52</v>
      </c>
      <c r="P297" s="2">
        <v>1388</v>
      </c>
      <c r="Q297" s="2">
        <f t="shared" si="22"/>
        <v>52</v>
      </c>
      <c r="R297" s="2">
        <f t="shared" si="20"/>
        <v>1440</v>
      </c>
      <c r="S297" t="str">
        <f t="shared" si="24"/>
        <v>Sedentary</v>
      </c>
      <c r="T297" s="2">
        <v>1426</v>
      </c>
    </row>
    <row r="298" spans="1:20" x14ac:dyDescent="0.25">
      <c r="A298" s="2">
        <v>2320127002</v>
      </c>
      <c r="B298" s="3">
        <v>42495</v>
      </c>
      <c r="C298" t="str">
        <f t="shared" si="21"/>
        <v>Thursday</v>
      </c>
      <c r="D298" t="str">
        <f t="shared" si="23"/>
        <v>Weekday</v>
      </c>
      <c r="E298" s="2">
        <v>5202</v>
      </c>
      <c r="F298" s="2">
        <v>3.5099999899999998</v>
      </c>
      <c r="G298" s="2">
        <v>3.5099999899999998</v>
      </c>
      <c r="H298" s="2">
        <v>0</v>
      </c>
      <c r="I298" s="2">
        <v>0</v>
      </c>
      <c r="J298" s="2">
        <v>0.38999998600000002</v>
      </c>
      <c r="K298" s="2">
        <v>3.1099998950000001</v>
      </c>
      <c r="L298" s="2">
        <v>0</v>
      </c>
      <c r="M298" s="2">
        <v>0</v>
      </c>
      <c r="N298" s="2">
        <v>11</v>
      </c>
      <c r="O298" s="2">
        <v>223</v>
      </c>
      <c r="P298" s="2">
        <v>1206</v>
      </c>
      <c r="Q298" s="2">
        <f t="shared" si="22"/>
        <v>234</v>
      </c>
      <c r="R298" s="2">
        <f t="shared" si="20"/>
        <v>1440</v>
      </c>
      <c r="S298" t="str">
        <f t="shared" si="24"/>
        <v>Lightly Active</v>
      </c>
      <c r="T298" s="2">
        <v>1780</v>
      </c>
    </row>
    <row r="299" spans="1:20" x14ac:dyDescent="0.25">
      <c r="A299" s="2">
        <v>2320127002</v>
      </c>
      <c r="B299" s="3">
        <v>42496</v>
      </c>
      <c r="C299" t="str">
        <f t="shared" si="21"/>
        <v>Friday</v>
      </c>
      <c r="D299" t="str">
        <f t="shared" si="23"/>
        <v>Weekday</v>
      </c>
      <c r="E299" s="2">
        <v>4878</v>
      </c>
      <c r="F299" s="2">
        <v>3.289999962</v>
      </c>
      <c r="G299" s="2">
        <v>3.289999962</v>
      </c>
      <c r="H299" s="2">
        <v>0</v>
      </c>
      <c r="I299" s="2">
        <v>0</v>
      </c>
      <c r="J299" s="2">
        <v>0</v>
      </c>
      <c r="K299" s="2">
        <v>3.289999962</v>
      </c>
      <c r="L299" s="2">
        <v>0</v>
      </c>
      <c r="M299" s="2">
        <v>0</v>
      </c>
      <c r="N299" s="2">
        <v>0</v>
      </c>
      <c r="O299" s="2">
        <v>204</v>
      </c>
      <c r="P299" s="2">
        <v>1236</v>
      </c>
      <c r="Q299" s="2">
        <f t="shared" si="22"/>
        <v>204</v>
      </c>
      <c r="R299" s="2">
        <f t="shared" si="20"/>
        <v>1440</v>
      </c>
      <c r="S299" t="str">
        <f t="shared" si="24"/>
        <v>Sedentary</v>
      </c>
      <c r="T299" s="2">
        <v>1742</v>
      </c>
    </row>
    <row r="300" spans="1:20" x14ac:dyDescent="0.25">
      <c r="A300" s="2">
        <v>2320127002</v>
      </c>
      <c r="B300" s="3">
        <v>42497</v>
      </c>
      <c r="C300" t="str">
        <f t="shared" si="21"/>
        <v>Saturday</v>
      </c>
      <c r="D300" t="str">
        <f t="shared" si="23"/>
        <v>Weekend</v>
      </c>
      <c r="E300" s="2">
        <v>7379</v>
      </c>
      <c r="F300" s="2">
        <v>4.9699997900000001</v>
      </c>
      <c r="G300" s="2">
        <v>4.9699997900000001</v>
      </c>
      <c r="H300" s="2">
        <v>0</v>
      </c>
      <c r="I300" s="2">
        <v>0</v>
      </c>
      <c r="J300" s="2">
        <v>0</v>
      </c>
      <c r="K300" s="2">
        <v>4.9699997900000001</v>
      </c>
      <c r="L300" s="2">
        <v>0</v>
      </c>
      <c r="M300" s="2">
        <v>0</v>
      </c>
      <c r="N300" s="2">
        <v>0</v>
      </c>
      <c r="O300" s="2">
        <v>319</v>
      </c>
      <c r="P300" s="2">
        <v>1121</v>
      </c>
      <c r="Q300" s="2">
        <f t="shared" si="22"/>
        <v>319</v>
      </c>
      <c r="R300" s="2">
        <f t="shared" si="20"/>
        <v>1440</v>
      </c>
      <c r="S300" t="str">
        <f t="shared" si="24"/>
        <v>Lightly Active</v>
      </c>
      <c r="T300" s="2">
        <v>1972</v>
      </c>
    </row>
    <row r="301" spans="1:20" x14ac:dyDescent="0.25">
      <c r="A301" s="2">
        <v>2320127002</v>
      </c>
      <c r="B301" s="3">
        <v>42498</v>
      </c>
      <c r="C301" t="str">
        <f t="shared" si="21"/>
        <v>Sunday</v>
      </c>
      <c r="D301" t="str">
        <f t="shared" si="23"/>
        <v>Weekend</v>
      </c>
      <c r="E301" s="2">
        <v>5161</v>
      </c>
      <c r="F301" s="2">
        <v>3.4800000190000002</v>
      </c>
      <c r="G301" s="2">
        <v>3.4800000190000002</v>
      </c>
      <c r="H301" s="2">
        <v>0</v>
      </c>
      <c r="I301" s="2">
        <v>0</v>
      </c>
      <c r="J301" s="2">
        <v>0</v>
      </c>
      <c r="K301" s="2">
        <v>3.4700000289999999</v>
      </c>
      <c r="L301" s="2">
        <v>0</v>
      </c>
      <c r="M301" s="2">
        <v>0</v>
      </c>
      <c r="N301" s="2">
        <v>0</v>
      </c>
      <c r="O301" s="2">
        <v>247</v>
      </c>
      <c r="P301" s="2">
        <v>1193</v>
      </c>
      <c r="Q301" s="2">
        <f t="shared" si="22"/>
        <v>247</v>
      </c>
      <c r="R301" s="2">
        <f t="shared" si="20"/>
        <v>1440</v>
      </c>
      <c r="S301" t="str">
        <f t="shared" si="24"/>
        <v>Lightly Active</v>
      </c>
      <c r="T301" s="2">
        <v>1821</v>
      </c>
    </row>
    <row r="302" spans="1:20" x14ac:dyDescent="0.25">
      <c r="A302" s="2">
        <v>2320127002</v>
      </c>
      <c r="B302" s="3">
        <v>42499</v>
      </c>
      <c r="C302" t="str">
        <f t="shared" si="21"/>
        <v>Monday</v>
      </c>
      <c r="D302" t="str">
        <f t="shared" si="23"/>
        <v>Weekday</v>
      </c>
      <c r="E302" s="2">
        <v>3090</v>
      </c>
      <c r="F302" s="2">
        <v>2.079999924</v>
      </c>
      <c r="G302" s="2">
        <v>2.079999924</v>
      </c>
      <c r="H302" s="2">
        <v>0</v>
      </c>
      <c r="I302" s="2">
        <v>0</v>
      </c>
      <c r="J302" s="2">
        <v>0</v>
      </c>
      <c r="K302" s="2">
        <v>2.079999924</v>
      </c>
      <c r="L302" s="2">
        <v>0</v>
      </c>
      <c r="M302" s="2">
        <v>0</v>
      </c>
      <c r="N302" s="2">
        <v>0</v>
      </c>
      <c r="O302" s="2">
        <v>145</v>
      </c>
      <c r="P302" s="2">
        <v>1295</v>
      </c>
      <c r="Q302" s="2">
        <f t="shared" si="22"/>
        <v>145</v>
      </c>
      <c r="R302" s="2">
        <f t="shared" si="20"/>
        <v>1440</v>
      </c>
      <c r="S302" t="str">
        <f t="shared" si="24"/>
        <v>Sedentary</v>
      </c>
      <c r="T302" s="2">
        <v>1630</v>
      </c>
    </row>
    <row r="303" spans="1:20" x14ac:dyDescent="0.25">
      <c r="A303" s="2">
        <v>2320127002</v>
      </c>
      <c r="B303" s="3">
        <v>42500</v>
      </c>
      <c r="C303" t="str">
        <f t="shared" si="21"/>
        <v>Tuesday</v>
      </c>
      <c r="D303" t="str">
        <f t="shared" si="23"/>
        <v>Weekday</v>
      </c>
      <c r="E303" s="2">
        <v>6227</v>
      </c>
      <c r="F303" s="2">
        <v>4.1999998090000004</v>
      </c>
      <c r="G303" s="2">
        <v>4.1999998090000004</v>
      </c>
      <c r="H303" s="2">
        <v>0</v>
      </c>
      <c r="I303" s="2">
        <v>0</v>
      </c>
      <c r="J303" s="2">
        <v>0</v>
      </c>
      <c r="K303" s="2">
        <v>4.1999998090000004</v>
      </c>
      <c r="L303" s="2">
        <v>0</v>
      </c>
      <c r="M303" s="2">
        <v>0</v>
      </c>
      <c r="N303" s="2">
        <v>0</v>
      </c>
      <c r="O303" s="2">
        <v>290</v>
      </c>
      <c r="P303" s="2">
        <v>1150</v>
      </c>
      <c r="Q303" s="2">
        <f t="shared" si="22"/>
        <v>290</v>
      </c>
      <c r="R303" s="2">
        <f t="shared" si="20"/>
        <v>1440</v>
      </c>
      <c r="S303" t="str">
        <f t="shared" si="24"/>
        <v>Lightly Active</v>
      </c>
      <c r="T303" s="2">
        <v>1899</v>
      </c>
    </row>
    <row r="304" spans="1:20" x14ac:dyDescent="0.25">
      <c r="A304" s="2">
        <v>2320127002</v>
      </c>
      <c r="B304" s="3">
        <v>42501</v>
      </c>
      <c r="C304" t="str">
        <f t="shared" si="21"/>
        <v>Wednesday</v>
      </c>
      <c r="D304" t="str">
        <f t="shared" si="23"/>
        <v>Weekday</v>
      </c>
      <c r="E304" s="2">
        <v>6424</v>
      </c>
      <c r="F304" s="2">
        <v>4.329999924</v>
      </c>
      <c r="G304" s="2">
        <v>4.329999924</v>
      </c>
      <c r="H304" s="2">
        <v>0</v>
      </c>
      <c r="I304" s="2">
        <v>0</v>
      </c>
      <c r="J304" s="2">
        <v>0</v>
      </c>
      <c r="K304" s="2">
        <v>4.329999924</v>
      </c>
      <c r="L304" s="2">
        <v>0</v>
      </c>
      <c r="M304" s="2">
        <v>0</v>
      </c>
      <c r="N304" s="2">
        <v>0</v>
      </c>
      <c r="O304" s="2">
        <v>300</v>
      </c>
      <c r="P304" s="2">
        <v>1140</v>
      </c>
      <c r="Q304" s="2">
        <f t="shared" si="22"/>
        <v>300</v>
      </c>
      <c r="R304" s="2">
        <f t="shared" si="20"/>
        <v>1440</v>
      </c>
      <c r="S304" t="str">
        <f t="shared" si="24"/>
        <v>Lightly Active</v>
      </c>
      <c r="T304" s="2">
        <v>1903</v>
      </c>
    </row>
    <row r="305" spans="1:20" x14ac:dyDescent="0.25">
      <c r="A305" s="2">
        <v>2320127002</v>
      </c>
      <c r="B305" s="3">
        <v>42502</v>
      </c>
      <c r="C305" t="str">
        <f t="shared" si="21"/>
        <v>Thursday</v>
      </c>
      <c r="D305" t="str">
        <f t="shared" si="23"/>
        <v>Weekday</v>
      </c>
      <c r="E305" s="2">
        <v>2661</v>
      </c>
      <c r="F305" s="2">
        <v>1.789999962</v>
      </c>
      <c r="G305" s="2">
        <v>1.789999962</v>
      </c>
      <c r="H305" s="2">
        <v>0</v>
      </c>
      <c r="I305" s="2">
        <v>0</v>
      </c>
      <c r="J305" s="2">
        <v>0</v>
      </c>
      <c r="K305" s="2">
        <v>1.789999962</v>
      </c>
      <c r="L305" s="2">
        <v>0</v>
      </c>
      <c r="M305" s="2">
        <v>0</v>
      </c>
      <c r="N305" s="2">
        <v>0</v>
      </c>
      <c r="O305" s="2">
        <v>128</v>
      </c>
      <c r="P305" s="2">
        <v>830</v>
      </c>
      <c r="Q305" s="2">
        <f t="shared" si="22"/>
        <v>128</v>
      </c>
      <c r="R305" s="2">
        <f t="shared" si="20"/>
        <v>958</v>
      </c>
      <c r="S305" t="str">
        <f t="shared" si="24"/>
        <v>Sedentary</v>
      </c>
      <c r="T305" s="2">
        <v>1125</v>
      </c>
    </row>
    <row r="306" spans="1:20" x14ac:dyDescent="0.25">
      <c r="A306" s="2">
        <v>2347167796</v>
      </c>
      <c r="B306" s="3">
        <v>42458</v>
      </c>
      <c r="C306" t="str">
        <f t="shared" si="21"/>
        <v>Tuesday</v>
      </c>
      <c r="D306" t="str">
        <f t="shared" si="23"/>
        <v>Weekday</v>
      </c>
      <c r="E306" s="2">
        <v>10272</v>
      </c>
      <c r="F306" s="2">
        <v>6.7899999619999996</v>
      </c>
      <c r="G306" s="2">
        <v>6.7899999619999996</v>
      </c>
      <c r="H306" s="2">
        <v>0</v>
      </c>
      <c r="I306" s="2">
        <v>0.15999999600000001</v>
      </c>
      <c r="J306" s="2">
        <v>3.119999886</v>
      </c>
      <c r="K306" s="2">
        <v>3.5</v>
      </c>
      <c r="L306" s="2">
        <v>0</v>
      </c>
      <c r="M306" s="2">
        <v>2</v>
      </c>
      <c r="N306" s="2">
        <v>58</v>
      </c>
      <c r="O306" s="2">
        <v>208</v>
      </c>
      <c r="P306" s="2">
        <v>700</v>
      </c>
      <c r="Q306" s="2">
        <f t="shared" si="22"/>
        <v>268</v>
      </c>
      <c r="R306" s="2">
        <f t="shared" si="20"/>
        <v>968</v>
      </c>
      <c r="S306" t="str">
        <f t="shared" si="24"/>
        <v>Highly Active</v>
      </c>
      <c r="T306" s="2">
        <v>2041</v>
      </c>
    </row>
    <row r="307" spans="1:20" x14ac:dyDescent="0.25">
      <c r="A307" s="2">
        <v>2347167796</v>
      </c>
      <c r="B307" s="3">
        <v>42459</v>
      </c>
      <c r="C307" t="str">
        <f t="shared" si="21"/>
        <v>Wednesday</v>
      </c>
      <c r="D307" t="str">
        <f t="shared" si="23"/>
        <v>Weekday</v>
      </c>
      <c r="E307" s="2">
        <v>10533</v>
      </c>
      <c r="F307" s="2">
        <v>7.0999999049999998</v>
      </c>
      <c r="G307" s="2">
        <v>7.0999999049999998</v>
      </c>
      <c r="H307" s="2">
        <v>0</v>
      </c>
      <c r="I307" s="2">
        <v>1.769999981</v>
      </c>
      <c r="J307" s="2">
        <v>2.0599999430000002</v>
      </c>
      <c r="K307" s="2">
        <v>3.2699999809999998</v>
      </c>
      <c r="L307" s="2">
        <v>0</v>
      </c>
      <c r="M307" s="2">
        <v>21</v>
      </c>
      <c r="N307" s="2">
        <v>35</v>
      </c>
      <c r="O307" s="2">
        <v>255</v>
      </c>
      <c r="P307" s="2">
        <v>615</v>
      </c>
      <c r="Q307" s="2">
        <f t="shared" si="22"/>
        <v>311</v>
      </c>
      <c r="R307" s="2">
        <f t="shared" si="20"/>
        <v>926</v>
      </c>
      <c r="S307" t="str">
        <f t="shared" si="24"/>
        <v>Highly Active</v>
      </c>
      <c r="T307" s="2">
        <v>2187</v>
      </c>
    </row>
    <row r="308" spans="1:20" x14ac:dyDescent="0.25">
      <c r="A308" s="2">
        <v>2347167796</v>
      </c>
      <c r="B308" s="3">
        <v>42460</v>
      </c>
      <c r="C308" t="str">
        <f t="shared" si="21"/>
        <v>Thursday</v>
      </c>
      <c r="D308" t="str">
        <f t="shared" si="23"/>
        <v>Weekday</v>
      </c>
      <c r="E308" s="2">
        <v>6760</v>
      </c>
      <c r="F308" s="2">
        <v>4.4699997900000001</v>
      </c>
      <c r="G308" s="2">
        <v>4.4699997900000001</v>
      </c>
      <c r="H308" s="2">
        <v>0</v>
      </c>
      <c r="I308" s="2">
        <v>0</v>
      </c>
      <c r="J308" s="2">
        <v>0</v>
      </c>
      <c r="K308" s="2">
        <v>4.4699997900000001</v>
      </c>
      <c r="L308" s="2">
        <v>0</v>
      </c>
      <c r="M308" s="2">
        <v>0</v>
      </c>
      <c r="N308" s="2">
        <v>0</v>
      </c>
      <c r="O308" s="2">
        <v>250</v>
      </c>
      <c r="P308" s="2">
        <v>613</v>
      </c>
      <c r="Q308" s="2">
        <f t="shared" si="22"/>
        <v>250</v>
      </c>
      <c r="R308" s="2">
        <f t="shared" si="20"/>
        <v>863</v>
      </c>
      <c r="S308" t="str">
        <f t="shared" si="24"/>
        <v>Lightly Active</v>
      </c>
      <c r="T308" s="2">
        <v>1929</v>
      </c>
    </row>
    <row r="309" spans="1:20" x14ac:dyDescent="0.25">
      <c r="A309" s="2">
        <v>2347167796</v>
      </c>
      <c r="B309" s="3">
        <v>42461</v>
      </c>
      <c r="C309" t="str">
        <f t="shared" si="21"/>
        <v>Friday</v>
      </c>
      <c r="D309" t="str">
        <f t="shared" si="23"/>
        <v>Weekday</v>
      </c>
      <c r="E309" s="2">
        <v>8328</v>
      </c>
      <c r="F309" s="2">
        <v>5.5100002290000001</v>
      </c>
      <c r="G309" s="2">
        <v>5.5100002290000001</v>
      </c>
      <c r="H309" s="2">
        <v>0</v>
      </c>
      <c r="I309" s="2">
        <v>0</v>
      </c>
      <c r="J309" s="2">
        <v>2</v>
      </c>
      <c r="K309" s="2">
        <v>3.5</v>
      </c>
      <c r="L309" s="2">
        <v>0</v>
      </c>
      <c r="M309" s="2">
        <v>0</v>
      </c>
      <c r="N309" s="2">
        <v>33</v>
      </c>
      <c r="O309" s="2">
        <v>212</v>
      </c>
      <c r="P309" s="2">
        <v>804</v>
      </c>
      <c r="Q309" s="2">
        <f t="shared" si="22"/>
        <v>245</v>
      </c>
      <c r="R309" s="2">
        <f t="shared" si="20"/>
        <v>1049</v>
      </c>
      <c r="S309" t="str">
        <f t="shared" si="24"/>
        <v>Fairly Active</v>
      </c>
      <c r="T309" s="2">
        <v>1935</v>
      </c>
    </row>
    <row r="310" spans="1:20" x14ac:dyDescent="0.25">
      <c r="A310" s="2">
        <v>2347167796</v>
      </c>
      <c r="B310" s="3">
        <v>42462</v>
      </c>
      <c r="C310" t="str">
        <f t="shared" si="21"/>
        <v>Saturday</v>
      </c>
      <c r="D310" t="str">
        <f t="shared" si="23"/>
        <v>Weekend</v>
      </c>
      <c r="E310" s="2">
        <v>15459</v>
      </c>
      <c r="F310" s="2">
        <v>10.22000027</v>
      </c>
      <c r="G310" s="2">
        <v>10.22000027</v>
      </c>
      <c r="H310" s="2">
        <v>0</v>
      </c>
      <c r="I310" s="2">
        <v>3.5899999139999998</v>
      </c>
      <c r="J310" s="2">
        <v>0.810000002</v>
      </c>
      <c r="K310" s="2">
        <v>5.8200001720000003</v>
      </c>
      <c r="L310" s="2">
        <v>0</v>
      </c>
      <c r="M310" s="2">
        <v>51</v>
      </c>
      <c r="N310" s="2">
        <v>16</v>
      </c>
      <c r="O310" s="2">
        <v>327</v>
      </c>
      <c r="P310" s="2">
        <v>583</v>
      </c>
      <c r="Q310" s="2">
        <f t="shared" si="22"/>
        <v>394</v>
      </c>
      <c r="R310" s="2">
        <f t="shared" si="20"/>
        <v>977</v>
      </c>
      <c r="S310" t="str">
        <f t="shared" si="24"/>
        <v>Highly Active</v>
      </c>
      <c r="T310" s="2">
        <v>2438</v>
      </c>
    </row>
    <row r="311" spans="1:20" x14ac:dyDescent="0.25">
      <c r="A311" s="2">
        <v>2347167796</v>
      </c>
      <c r="B311" s="3">
        <v>42463</v>
      </c>
      <c r="C311" t="str">
        <f t="shared" si="21"/>
        <v>Sunday</v>
      </c>
      <c r="D311" t="str">
        <f t="shared" si="23"/>
        <v>Weekend</v>
      </c>
      <c r="E311" s="2">
        <v>7485</v>
      </c>
      <c r="F311" s="2">
        <v>4.9499998090000004</v>
      </c>
      <c r="G311" s="2">
        <v>4.9499998090000004</v>
      </c>
      <c r="H311" s="2">
        <v>0</v>
      </c>
      <c r="I311" s="2">
        <v>0</v>
      </c>
      <c r="J311" s="2">
        <v>0</v>
      </c>
      <c r="K311" s="2">
        <v>4.9499998090000004</v>
      </c>
      <c r="L311" s="2">
        <v>0</v>
      </c>
      <c r="M311" s="2">
        <v>0</v>
      </c>
      <c r="N311" s="2">
        <v>0</v>
      </c>
      <c r="O311" s="2">
        <v>324</v>
      </c>
      <c r="P311" s="2">
        <v>491</v>
      </c>
      <c r="Q311" s="2">
        <f t="shared" si="22"/>
        <v>324</v>
      </c>
      <c r="R311" s="2">
        <f t="shared" ref="R311:R373" si="25">SUM(M311:P311)</f>
        <v>815</v>
      </c>
      <c r="S311" t="str">
        <f t="shared" si="24"/>
        <v>Lightly Active</v>
      </c>
      <c r="T311" s="2">
        <v>2035</v>
      </c>
    </row>
    <row r="312" spans="1:20" x14ac:dyDescent="0.25">
      <c r="A312" s="2">
        <v>2347167796</v>
      </c>
      <c r="B312" s="3">
        <v>42464</v>
      </c>
      <c r="C312" t="str">
        <f t="shared" ref="C312:C375" si="26">CHOOSE(WEEKDAY(B312), "Sunday", "Monday", "Tuesday", "Wednesday", "Thursday", "Friday", "Saturday")</f>
        <v>Monday</v>
      </c>
      <c r="D312" t="str">
        <f t="shared" si="23"/>
        <v>Weekday</v>
      </c>
      <c r="E312" s="2">
        <v>10254</v>
      </c>
      <c r="F312" s="2">
        <v>6.8000001909999996</v>
      </c>
      <c r="G312" s="2">
        <v>6.8000001909999996</v>
      </c>
      <c r="H312" s="2">
        <v>0</v>
      </c>
      <c r="I312" s="2">
        <v>1.4199999569999999</v>
      </c>
      <c r="J312" s="2">
        <v>1.230000019</v>
      </c>
      <c r="K312" s="2">
        <v>4.1599998469999999</v>
      </c>
      <c r="L312" s="2">
        <v>0</v>
      </c>
      <c r="M312" s="2">
        <v>21</v>
      </c>
      <c r="N312" s="2">
        <v>25</v>
      </c>
      <c r="O312" s="2">
        <v>231</v>
      </c>
      <c r="P312" s="2">
        <v>638</v>
      </c>
      <c r="Q312" s="2">
        <f t="shared" ref="Q312:Q375" si="27">SUM(M312:O312)</f>
        <v>277</v>
      </c>
      <c r="R312" s="2">
        <f t="shared" si="25"/>
        <v>915</v>
      </c>
      <c r="S312" t="str">
        <f t="shared" si="24"/>
        <v>Highly Active</v>
      </c>
      <c r="T312" s="2">
        <v>2099</v>
      </c>
    </row>
    <row r="313" spans="1:20" x14ac:dyDescent="0.25">
      <c r="A313" s="2">
        <v>2347167796</v>
      </c>
      <c r="B313" s="3">
        <v>42465</v>
      </c>
      <c r="C313" t="str">
        <f t="shared" si="26"/>
        <v>Tuesday</v>
      </c>
      <c r="D313" t="str">
        <f t="shared" si="23"/>
        <v>Weekday</v>
      </c>
      <c r="E313" s="2">
        <v>10114</v>
      </c>
      <c r="F313" s="2">
        <v>6.8200001720000003</v>
      </c>
      <c r="G313" s="2">
        <v>6.8200001720000003</v>
      </c>
      <c r="H313" s="2">
        <v>0</v>
      </c>
      <c r="I313" s="2">
        <v>1.6399999860000001</v>
      </c>
      <c r="J313" s="2">
        <v>0.47999998900000002</v>
      </c>
      <c r="K313" s="2">
        <v>4.6799998279999997</v>
      </c>
      <c r="L313" s="2">
        <v>0</v>
      </c>
      <c r="M313" s="2">
        <v>18</v>
      </c>
      <c r="N313" s="2">
        <v>9</v>
      </c>
      <c r="O313" s="2">
        <v>269</v>
      </c>
      <c r="P313" s="2">
        <v>696</v>
      </c>
      <c r="Q313" s="2">
        <f t="shared" si="27"/>
        <v>296</v>
      </c>
      <c r="R313" s="2">
        <f t="shared" si="25"/>
        <v>992</v>
      </c>
      <c r="S313" t="str">
        <f t="shared" si="24"/>
        <v>Highly Active</v>
      </c>
      <c r="T313" s="2">
        <v>2096</v>
      </c>
    </row>
    <row r="314" spans="1:20" x14ac:dyDescent="0.25">
      <c r="A314" s="2">
        <v>2347167796</v>
      </c>
      <c r="B314" s="3">
        <v>42466</v>
      </c>
      <c r="C314" t="str">
        <f t="shared" si="26"/>
        <v>Wednesday</v>
      </c>
      <c r="D314" t="str">
        <f t="shared" si="23"/>
        <v>Weekday</v>
      </c>
      <c r="E314" s="2">
        <v>11107</v>
      </c>
      <c r="F314" s="2">
        <v>7.3400001530000001</v>
      </c>
      <c r="G314" s="2">
        <v>7.3400001530000001</v>
      </c>
      <c r="H314" s="2">
        <v>0</v>
      </c>
      <c r="I314" s="2">
        <v>0.89999997600000003</v>
      </c>
      <c r="J314" s="2">
        <v>2.7599999899999998</v>
      </c>
      <c r="K314" s="2">
        <v>3.6800000669999999</v>
      </c>
      <c r="L314" s="2">
        <v>0</v>
      </c>
      <c r="M314" s="2">
        <v>14</v>
      </c>
      <c r="N314" s="2">
        <v>46</v>
      </c>
      <c r="O314" s="2">
        <v>196</v>
      </c>
      <c r="P314" s="2">
        <v>759</v>
      </c>
      <c r="Q314" s="2">
        <f t="shared" si="27"/>
        <v>256</v>
      </c>
      <c r="R314" s="2">
        <f t="shared" si="25"/>
        <v>1015</v>
      </c>
      <c r="S314" t="str">
        <f t="shared" si="24"/>
        <v>Highly Active</v>
      </c>
      <c r="T314" s="2">
        <v>2058</v>
      </c>
    </row>
    <row r="315" spans="1:20" x14ac:dyDescent="0.25">
      <c r="A315" s="2">
        <v>2347167796</v>
      </c>
      <c r="B315" s="3">
        <v>42467</v>
      </c>
      <c r="C315" t="str">
        <f t="shared" si="26"/>
        <v>Thursday</v>
      </c>
      <c r="D315" t="str">
        <f t="shared" si="23"/>
        <v>Weekday</v>
      </c>
      <c r="E315" s="2">
        <v>10320</v>
      </c>
      <c r="F315" s="2">
        <v>6.8499999049999998</v>
      </c>
      <c r="G315" s="2">
        <v>6.8499999049999998</v>
      </c>
      <c r="H315" s="2">
        <v>0</v>
      </c>
      <c r="I315" s="2">
        <v>0.68000000699999996</v>
      </c>
      <c r="J315" s="2">
        <v>1.230000019</v>
      </c>
      <c r="K315" s="2">
        <v>4.9400000569999998</v>
      </c>
      <c r="L315" s="2">
        <v>0</v>
      </c>
      <c r="M315" s="2">
        <v>15</v>
      </c>
      <c r="N315" s="2">
        <v>32</v>
      </c>
      <c r="O315" s="2">
        <v>315</v>
      </c>
      <c r="P315" s="2">
        <v>1002</v>
      </c>
      <c r="Q315" s="2">
        <f t="shared" si="27"/>
        <v>362</v>
      </c>
      <c r="R315" s="2">
        <f t="shared" si="25"/>
        <v>1364</v>
      </c>
      <c r="S315" t="str">
        <f t="shared" si="24"/>
        <v>Highly Active</v>
      </c>
      <c r="T315" s="2">
        <v>2338</v>
      </c>
    </row>
    <row r="316" spans="1:20" x14ac:dyDescent="0.25">
      <c r="A316" s="2">
        <v>2347167796</v>
      </c>
      <c r="B316" s="3">
        <v>42468</v>
      </c>
      <c r="C316" t="str">
        <f t="shared" si="26"/>
        <v>Friday</v>
      </c>
      <c r="D316" t="str">
        <f t="shared" si="23"/>
        <v>Weekday</v>
      </c>
      <c r="E316" s="2">
        <v>10209</v>
      </c>
      <c r="F316" s="2">
        <v>6.75</v>
      </c>
      <c r="G316" s="2">
        <v>6.75</v>
      </c>
      <c r="H316" s="2">
        <v>0</v>
      </c>
      <c r="I316" s="2">
        <v>0.15999999600000001</v>
      </c>
      <c r="J316" s="2">
        <v>0.34999999399999998</v>
      </c>
      <c r="K316" s="2">
        <v>6.2300000190000002</v>
      </c>
      <c r="L316" s="2">
        <v>0</v>
      </c>
      <c r="M316" s="2">
        <v>2</v>
      </c>
      <c r="N316" s="2">
        <v>6</v>
      </c>
      <c r="O316" s="2">
        <v>316</v>
      </c>
      <c r="P316" s="2">
        <v>711</v>
      </c>
      <c r="Q316" s="2">
        <f t="shared" si="27"/>
        <v>324</v>
      </c>
      <c r="R316" s="2">
        <f t="shared" si="25"/>
        <v>1035</v>
      </c>
      <c r="S316" t="str">
        <f t="shared" si="24"/>
        <v>Highly Active</v>
      </c>
      <c r="T316" s="2">
        <v>2104</v>
      </c>
    </row>
    <row r="317" spans="1:20" x14ac:dyDescent="0.25">
      <c r="A317" s="2">
        <v>2347167796</v>
      </c>
      <c r="B317" s="3">
        <v>42469</v>
      </c>
      <c r="C317" t="str">
        <f t="shared" si="26"/>
        <v>Saturday</v>
      </c>
      <c r="D317" t="str">
        <f t="shared" si="23"/>
        <v>Weekend</v>
      </c>
      <c r="E317" s="2">
        <v>16081</v>
      </c>
      <c r="F317" s="2">
        <v>10.630000109999999</v>
      </c>
      <c r="G317" s="2">
        <v>10.630000109999999</v>
      </c>
      <c r="H317" s="2">
        <v>0</v>
      </c>
      <c r="I317" s="2">
        <v>1.25</v>
      </c>
      <c r="J317" s="2">
        <v>1.8200000519999999</v>
      </c>
      <c r="K317" s="2">
        <v>7.5599999430000002</v>
      </c>
      <c r="L317" s="2">
        <v>0</v>
      </c>
      <c r="M317" s="2">
        <v>16</v>
      </c>
      <c r="N317" s="2">
        <v>32</v>
      </c>
      <c r="O317" s="2">
        <v>401</v>
      </c>
      <c r="P317" s="2">
        <v>970</v>
      </c>
      <c r="Q317" s="2">
        <f t="shared" si="27"/>
        <v>449</v>
      </c>
      <c r="R317" s="2">
        <f t="shared" si="25"/>
        <v>1419</v>
      </c>
      <c r="S317" t="str">
        <f t="shared" si="24"/>
        <v>Highly Active</v>
      </c>
      <c r="T317" s="2">
        <v>2488</v>
      </c>
    </row>
    <row r="318" spans="1:20" x14ac:dyDescent="0.25">
      <c r="A318" s="2">
        <v>2347167796</v>
      </c>
      <c r="B318" s="3">
        <v>42470</v>
      </c>
      <c r="C318" t="str">
        <f t="shared" si="26"/>
        <v>Sunday</v>
      </c>
      <c r="D318" t="str">
        <f t="shared" si="23"/>
        <v>Weekend</v>
      </c>
      <c r="E318" s="2">
        <v>10078</v>
      </c>
      <c r="F318" s="2">
        <v>6.829999924</v>
      </c>
      <c r="G318" s="2">
        <v>6.829999924</v>
      </c>
      <c r="H318" s="2">
        <v>0</v>
      </c>
      <c r="I318" s="2">
        <v>1.019999981</v>
      </c>
      <c r="J318" s="2">
        <v>0.119999997</v>
      </c>
      <c r="K318" s="2">
        <v>5.6900000569999998</v>
      </c>
      <c r="L318" s="2">
        <v>0</v>
      </c>
      <c r="M318" s="2">
        <v>12</v>
      </c>
      <c r="N318" s="2">
        <v>3</v>
      </c>
      <c r="O318" s="2">
        <v>303</v>
      </c>
      <c r="P318" s="2">
        <v>463</v>
      </c>
      <c r="Q318" s="2">
        <f t="shared" si="27"/>
        <v>318</v>
      </c>
      <c r="R318" s="2">
        <f t="shared" si="25"/>
        <v>781</v>
      </c>
      <c r="S318" t="str">
        <f t="shared" si="24"/>
        <v>Highly Active</v>
      </c>
      <c r="T318" s="2">
        <v>2164</v>
      </c>
    </row>
    <row r="319" spans="1:20" x14ac:dyDescent="0.25">
      <c r="A319" s="2">
        <v>2347167796</v>
      </c>
      <c r="B319" s="3">
        <v>42471</v>
      </c>
      <c r="C319" t="str">
        <f t="shared" si="26"/>
        <v>Monday</v>
      </c>
      <c r="D319" t="str">
        <f t="shared" si="23"/>
        <v>Weekday</v>
      </c>
      <c r="E319" s="2">
        <v>10001</v>
      </c>
      <c r="F319" s="2">
        <v>6.6100001339999999</v>
      </c>
      <c r="G319" s="2">
        <v>6.6100001339999999</v>
      </c>
      <c r="H319" s="2">
        <v>0</v>
      </c>
      <c r="I319" s="2">
        <v>0.33000001299999998</v>
      </c>
      <c r="J319" s="2">
        <v>2.9300000669999999</v>
      </c>
      <c r="K319" s="2">
        <v>3.3599998950000001</v>
      </c>
      <c r="L319" s="2">
        <v>0</v>
      </c>
      <c r="M319" s="2">
        <v>5</v>
      </c>
      <c r="N319" s="2">
        <v>52</v>
      </c>
      <c r="O319" s="2">
        <v>196</v>
      </c>
      <c r="P319" s="2">
        <v>788</v>
      </c>
      <c r="Q319" s="2">
        <f t="shared" si="27"/>
        <v>253</v>
      </c>
      <c r="R319" s="2">
        <f t="shared" si="25"/>
        <v>1041</v>
      </c>
      <c r="S319" t="str">
        <f t="shared" si="24"/>
        <v>Highly Active</v>
      </c>
      <c r="T319" s="2">
        <v>2009</v>
      </c>
    </row>
    <row r="320" spans="1:20" x14ac:dyDescent="0.25">
      <c r="A320" s="2">
        <v>2347167796</v>
      </c>
      <c r="B320" s="3">
        <v>42473</v>
      </c>
      <c r="C320" t="str">
        <f t="shared" si="26"/>
        <v>Wednesday</v>
      </c>
      <c r="D320" t="str">
        <f t="shared" si="23"/>
        <v>Weekday</v>
      </c>
      <c r="E320" s="2">
        <v>10352</v>
      </c>
      <c r="F320" s="2">
        <v>7.0100002290000001</v>
      </c>
      <c r="G320" s="2">
        <v>7.0100002290000001</v>
      </c>
      <c r="H320" s="2">
        <v>0</v>
      </c>
      <c r="I320" s="2">
        <v>1.6599999670000001</v>
      </c>
      <c r="J320" s="2">
        <v>1.940000057</v>
      </c>
      <c r="K320" s="2">
        <v>3.4100000860000002</v>
      </c>
      <c r="L320" s="2">
        <v>0</v>
      </c>
      <c r="M320" s="2">
        <v>19</v>
      </c>
      <c r="N320" s="2">
        <v>32</v>
      </c>
      <c r="O320" s="2">
        <v>195</v>
      </c>
      <c r="P320" s="2">
        <v>676</v>
      </c>
      <c r="Q320" s="2">
        <f t="shared" si="27"/>
        <v>246</v>
      </c>
      <c r="R320" s="2">
        <f t="shared" si="25"/>
        <v>922</v>
      </c>
      <c r="S320" t="str">
        <f t="shared" si="24"/>
        <v>Highly Active</v>
      </c>
      <c r="T320" s="2">
        <v>2038</v>
      </c>
    </row>
    <row r="321" spans="1:20" x14ac:dyDescent="0.25">
      <c r="A321" s="2">
        <v>2347167796</v>
      </c>
      <c r="B321" s="3">
        <v>42474</v>
      </c>
      <c r="C321" t="str">
        <f t="shared" si="26"/>
        <v>Thursday</v>
      </c>
      <c r="D321" t="str">
        <f t="shared" si="23"/>
        <v>Weekday</v>
      </c>
      <c r="E321" s="2">
        <v>10129</v>
      </c>
      <c r="F321" s="2">
        <v>6.6999998090000004</v>
      </c>
      <c r="G321" s="2">
        <v>6.6999998090000004</v>
      </c>
      <c r="H321" s="2">
        <v>0</v>
      </c>
      <c r="I321" s="2">
        <v>0.02</v>
      </c>
      <c r="J321" s="2">
        <v>2.7400000100000002</v>
      </c>
      <c r="K321" s="2">
        <v>3.9400000569999998</v>
      </c>
      <c r="L321" s="2">
        <v>0</v>
      </c>
      <c r="M321" s="2">
        <v>1</v>
      </c>
      <c r="N321" s="2">
        <v>48</v>
      </c>
      <c r="O321" s="2">
        <v>206</v>
      </c>
      <c r="P321" s="2">
        <v>705</v>
      </c>
      <c r="Q321" s="2">
        <f t="shared" si="27"/>
        <v>255</v>
      </c>
      <c r="R321" s="2">
        <f t="shared" si="25"/>
        <v>960</v>
      </c>
      <c r="S321" t="str">
        <f t="shared" si="24"/>
        <v>Highly Active</v>
      </c>
      <c r="T321" s="2">
        <v>2010</v>
      </c>
    </row>
    <row r="322" spans="1:20" x14ac:dyDescent="0.25">
      <c r="A322" s="2">
        <v>2347167796</v>
      </c>
      <c r="B322" s="3">
        <v>42475</v>
      </c>
      <c r="C322" t="str">
        <f t="shared" si="26"/>
        <v>Friday</v>
      </c>
      <c r="D322" t="str">
        <f t="shared" si="23"/>
        <v>Weekday</v>
      </c>
      <c r="E322" s="2">
        <v>10465</v>
      </c>
      <c r="F322" s="2">
        <v>6.920000076</v>
      </c>
      <c r="G322" s="2">
        <v>6.920000076</v>
      </c>
      <c r="H322" s="2">
        <v>0</v>
      </c>
      <c r="I322" s="2">
        <v>7.0000000000000007E-2</v>
      </c>
      <c r="J322" s="2">
        <v>1.4199999569999999</v>
      </c>
      <c r="K322" s="2">
        <v>5.4299998279999997</v>
      </c>
      <c r="L322" s="2">
        <v>0</v>
      </c>
      <c r="M322" s="2">
        <v>1</v>
      </c>
      <c r="N322" s="2">
        <v>24</v>
      </c>
      <c r="O322" s="2">
        <v>284</v>
      </c>
      <c r="P322" s="2">
        <v>720</v>
      </c>
      <c r="Q322" s="2">
        <f t="shared" si="27"/>
        <v>309</v>
      </c>
      <c r="R322" s="2">
        <f t="shared" si="25"/>
        <v>1029</v>
      </c>
      <c r="S322" t="str">
        <f t="shared" si="24"/>
        <v>Highly Active</v>
      </c>
      <c r="T322" s="2">
        <v>2133</v>
      </c>
    </row>
    <row r="323" spans="1:20" x14ac:dyDescent="0.25">
      <c r="A323" s="2">
        <v>2347167796</v>
      </c>
      <c r="B323" s="3">
        <v>42476</v>
      </c>
      <c r="C323" t="str">
        <f t="shared" si="26"/>
        <v>Saturday</v>
      </c>
      <c r="D323" t="str">
        <f t="shared" ref="D323:D386" si="28">IF(OR(C323="Saturday", C323="Sunday"), "Weekend", "Weekday")</f>
        <v>Weekend</v>
      </c>
      <c r="E323" s="2">
        <v>22244</v>
      </c>
      <c r="F323" s="2">
        <v>15.079999920000001</v>
      </c>
      <c r="G323" s="2">
        <v>15.079999920000001</v>
      </c>
      <c r="H323" s="2">
        <v>0</v>
      </c>
      <c r="I323" s="2">
        <v>5.4499998090000004</v>
      </c>
      <c r="J323" s="2">
        <v>4.0999999049999998</v>
      </c>
      <c r="K323" s="2">
        <v>5.5300002099999999</v>
      </c>
      <c r="L323" s="2">
        <v>0</v>
      </c>
      <c r="M323" s="2">
        <v>66</v>
      </c>
      <c r="N323" s="2">
        <v>72</v>
      </c>
      <c r="O323" s="2">
        <v>268</v>
      </c>
      <c r="P323" s="2">
        <v>968</v>
      </c>
      <c r="Q323" s="2">
        <f t="shared" si="27"/>
        <v>406</v>
      </c>
      <c r="R323" s="2">
        <f t="shared" si="25"/>
        <v>1374</v>
      </c>
      <c r="S323" t="str">
        <f t="shared" ref="S323:S386" si="29">IF(E323&lt;5000, "Sedentary", IF(E323&lt;7500, "Lightly Active", IF(E323&lt;10000, "Fairly Active", "Highly Active")))</f>
        <v>Highly Active</v>
      </c>
      <c r="T323" s="2">
        <v>2670</v>
      </c>
    </row>
    <row r="324" spans="1:20" x14ac:dyDescent="0.25">
      <c r="A324" s="2">
        <v>2347167796</v>
      </c>
      <c r="B324" s="3">
        <v>42477</v>
      </c>
      <c r="C324" t="str">
        <f t="shared" si="26"/>
        <v>Sunday</v>
      </c>
      <c r="D324" t="str">
        <f t="shared" si="28"/>
        <v>Weekend</v>
      </c>
      <c r="E324" s="2">
        <v>5472</v>
      </c>
      <c r="F324" s="2">
        <v>3.619999886</v>
      </c>
      <c r="G324" s="2">
        <v>3.619999886</v>
      </c>
      <c r="H324" s="2">
        <v>0</v>
      </c>
      <c r="I324" s="2">
        <v>7.9999998000000003E-2</v>
      </c>
      <c r="J324" s="2">
        <v>0.280000001</v>
      </c>
      <c r="K324" s="2">
        <v>3.2599999899999998</v>
      </c>
      <c r="L324" s="2">
        <v>0</v>
      </c>
      <c r="M324" s="2">
        <v>1</v>
      </c>
      <c r="N324" s="2">
        <v>7</v>
      </c>
      <c r="O324" s="2">
        <v>249</v>
      </c>
      <c r="P324" s="2">
        <v>508</v>
      </c>
      <c r="Q324" s="2">
        <f t="shared" si="27"/>
        <v>257</v>
      </c>
      <c r="R324" s="2">
        <f t="shared" si="25"/>
        <v>765</v>
      </c>
      <c r="S324" t="str">
        <f t="shared" si="29"/>
        <v>Lightly Active</v>
      </c>
      <c r="T324" s="2">
        <v>1882</v>
      </c>
    </row>
    <row r="325" spans="1:20" x14ac:dyDescent="0.25">
      <c r="A325" s="2">
        <v>2347167796</v>
      </c>
      <c r="B325" s="3">
        <v>42478</v>
      </c>
      <c r="C325" t="str">
        <f t="shared" si="26"/>
        <v>Monday</v>
      </c>
      <c r="D325" t="str">
        <f t="shared" si="28"/>
        <v>Weekday</v>
      </c>
      <c r="E325" s="2">
        <v>8247</v>
      </c>
      <c r="F325" s="2">
        <v>5.4499998090000004</v>
      </c>
      <c r="G325" s="2">
        <v>5.4499998090000004</v>
      </c>
      <c r="H325" s="2">
        <v>0</v>
      </c>
      <c r="I325" s="2">
        <v>0.790000021</v>
      </c>
      <c r="J325" s="2">
        <v>0.86000001400000003</v>
      </c>
      <c r="K325" s="2">
        <v>3.789999962</v>
      </c>
      <c r="L325" s="2">
        <v>0</v>
      </c>
      <c r="M325" s="2">
        <v>11</v>
      </c>
      <c r="N325" s="2">
        <v>16</v>
      </c>
      <c r="O325" s="2">
        <v>206</v>
      </c>
      <c r="P325" s="2">
        <v>678</v>
      </c>
      <c r="Q325" s="2">
        <f t="shared" si="27"/>
        <v>233</v>
      </c>
      <c r="R325" s="2">
        <f t="shared" si="25"/>
        <v>911</v>
      </c>
      <c r="S325" t="str">
        <f t="shared" si="29"/>
        <v>Fairly Active</v>
      </c>
      <c r="T325" s="2">
        <v>1944</v>
      </c>
    </row>
    <row r="326" spans="1:20" x14ac:dyDescent="0.25">
      <c r="A326" s="2">
        <v>2347167796</v>
      </c>
      <c r="B326" s="3">
        <v>42479</v>
      </c>
      <c r="C326" t="str">
        <f t="shared" si="26"/>
        <v>Tuesday</v>
      </c>
      <c r="D326" t="str">
        <f t="shared" si="28"/>
        <v>Weekday</v>
      </c>
      <c r="E326" s="2">
        <v>6711</v>
      </c>
      <c r="F326" s="2">
        <v>4.4400000569999998</v>
      </c>
      <c r="G326" s="2">
        <v>4.4400000569999998</v>
      </c>
      <c r="H326" s="2">
        <v>0</v>
      </c>
      <c r="I326" s="2">
        <v>0</v>
      </c>
      <c r="J326" s="2">
        <v>0</v>
      </c>
      <c r="K326" s="2">
        <v>4.4400000569999998</v>
      </c>
      <c r="L326" s="2">
        <v>0</v>
      </c>
      <c r="M326" s="2">
        <v>0</v>
      </c>
      <c r="N326" s="2">
        <v>7</v>
      </c>
      <c r="O326" s="2">
        <v>382</v>
      </c>
      <c r="P326" s="2">
        <v>648</v>
      </c>
      <c r="Q326" s="2">
        <f t="shared" si="27"/>
        <v>389</v>
      </c>
      <c r="R326" s="2">
        <f t="shared" si="25"/>
        <v>1037</v>
      </c>
      <c r="S326" t="str">
        <f t="shared" si="29"/>
        <v>Lightly Active</v>
      </c>
      <c r="T326" s="2">
        <v>2346</v>
      </c>
    </row>
    <row r="327" spans="1:20" x14ac:dyDescent="0.25">
      <c r="A327" s="2">
        <v>2347167796</v>
      </c>
      <c r="B327" s="3">
        <v>42480</v>
      </c>
      <c r="C327" t="str">
        <f t="shared" si="26"/>
        <v>Wednesday</v>
      </c>
      <c r="D327" t="str">
        <f t="shared" si="28"/>
        <v>Weekday</v>
      </c>
      <c r="E327" s="2">
        <v>10999</v>
      </c>
      <c r="F327" s="2">
        <v>7.2699999809999998</v>
      </c>
      <c r="G327" s="2">
        <v>7.2699999809999998</v>
      </c>
      <c r="H327" s="2">
        <v>0</v>
      </c>
      <c r="I327" s="2">
        <v>0.68000000699999996</v>
      </c>
      <c r="J327" s="2">
        <v>1.809999943</v>
      </c>
      <c r="K327" s="2">
        <v>4.7800002099999999</v>
      </c>
      <c r="L327" s="2">
        <v>0</v>
      </c>
      <c r="M327" s="2">
        <v>11</v>
      </c>
      <c r="N327" s="2">
        <v>43</v>
      </c>
      <c r="O327" s="2">
        <v>269</v>
      </c>
      <c r="P327" s="2">
        <v>1011</v>
      </c>
      <c r="Q327" s="2">
        <f t="shared" si="27"/>
        <v>323</v>
      </c>
      <c r="R327" s="2">
        <f t="shared" si="25"/>
        <v>1334</v>
      </c>
      <c r="S327" t="str">
        <f t="shared" si="29"/>
        <v>Highly Active</v>
      </c>
      <c r="T327" s="2">
        <v>2198</v>
      </c>
    </row>
    <row r="328" spans="1:20" x14ac:dyDescent="0.25">
      <c r="A328" s="2">
        <v>2347167796</v>
      </c>
      <c r="B328" s="3">
        <v>42481</v>
      </c>
      <c r="C328" t="str">
        <f t="shared" si="26"/>
        <v>Thursday</v>
      </c>
      <c r="D328" t="str">
        <f t="shared" si="28"/>
        <v>Weekday</v>
      </c>
      <c r="E328" s="2">
        <v>10080</v>
      </c>
      <c r="F328" s="2">
        <v>6.75</v>
      </c>
      <c r="G328" s="2">
        <v>6.75</v>
      </c>
      <c r="H328" s="2">
        <v>0</v>
      </c>
      <c r="I328" s="2">
        <v>1.8500000240000001</v>
      </c>
      <c r="J328" s="2">
        <v>1.5299999710000001</v>
      </c>
      <c r="K328" s="2">
        <v>3.380000114</v>
      </c>
      <c r="L328" s="2">
        <v>0</v>
      </c>
      <c r="M328" s="2">
        <v>23</v>
      </c>
      <c r="N328" s="2">
        <v>26</v>
      </c>
      <c r="O328" s="2">
        <v>208</v>
      </c>
      <c r="P328" s="2">
        <v>761</v>
      </c>
      <c r="Q328" s="2">
        <f t="shared" si="27"/>
        <v>257</v>
      </c>
      <c r="R328" s="2">
        <f t="shared" si="25"/>
        <v>1018</v>
      </c>
      <c r="S328" t="str">
        <f t="shared" si="29"/>
        <v>Highly Active</v>
      </c>
      <c r="T328" s="2">
        <v>2048</v>
      </c>
    </row>
    <row r="329" spans="1:20" x14ac:dyDescent="0.25">
      <c r="A329" s="2">
        <v>2347167796</v>
      </c>
      <c r="B329" s="3">
        <v>42482</v>
      </c>
      <c r="C329" t="str">
        <f t="shared" si="26"/>
        <v>Friday</v>
      </c>
      <c r="D329" t="str">
        <f t="shared" si="28"/>
        <v>Weekday</v>
      </c>
      <c r="E329" s="2">
        <v>7804</v>
      </c>
      <c r="F329" s="2">
        <v>5.1599998469999999</v>
      </c>
      <c r="G329" s="2">
        <v>5.1599998469999999</v>
      </c>
      <c r="H329" s="2">
        <v>0</v>
      </c>
      <c r="I329" s="2">
        <v>0.560000002</v>
      </c>
      <c r="J329" s="2">
        <v>1.6799999480000001</v>
      </c>
      <c r="K329" s="2">
        <v>2.920000076</v>
      </c>
      <c r="L329" s="2">
        <v>0</v>
      </c>
      <c r="M329" s="2">
        <v>9</v>
      </c>
      <c r="N329" s="2">
        <v>27</v>
      </c>
      <c r="O329" s="2">
        <v>206</v>
      </c>
      <c r="P329" s="2">
        <v>781</v>
      </c>
      <c r="Q329" s="2">
        <f t="shared" si="27"/>
        <v>242</v>
      </c>
      <c r="R329" s="2">
        <f t="shared" si="25"/>
        <v>1023</v>
      </c>
      <c r="S329" t="str">
        <f t="shared" si="29"/>
        <v>Fairly Active</v>
      </c>
      <c r="T329" s="2">
        <v>1946</v>
      </c>
    </row>
    <row r="330" spans="1:20" x14ac:dyDescent="0.25">
      <c r="A330" s="2">
        <v>2347167796</v>
      </c>
      <c r="B330" s="3">
        <v>42483</v>
      </c>
      <c r="C330" t="str">
        <f t="shared" si="26"/>
        <v>Saturday</v>
      </c>
      <c r="D330" t="str">
        <f t="shared" si="28"/>
        <v>Weekend</v>
      </c>
      <c r="E330" s="2">
        <v>16901</v>
      </c>
      <c r="F330" s="2">
        <v>11.369999890000001</v>
      </c>
      <c r="G330" s="2">
        <v>11.369999890000001</v>
      </c>
      <c r="H330" s="2">
        <v>0</v>
      </c>
      <c r="I330" s="2">
        <v>2.7799999710000001</v>
      </c>
      <c r="J330" s="2">
        <v>1.4500000479999999</v>
      </c>
      <c r="K330" s="2">
        <v>7.1500000950000002</v>
      </c>
      <c r="L330" s="2">
        <v>0</v>
      </c>
      <c r="M330" s="2">
        <v>32</v>
      </c>
      <c r="N330" s="2">
        <v>35</v>
      </c>
      <c r="O330" s="2">
        <v>360</v>
      </c>
      <c r="P330" s="2">
        <v>591</v>
      </c>
      <c r="Q330" s="2">
        <f t="shared" si="27"/>
        <v>427</v>
      </c>
      <c r="R330" s="2">
        <f t="shared" si="25"/>
        <v>1018</v>
      </c>
      <c r="S330" t="str">
        <f t="shared" si="29"/>
        <v>Highly Active</v>
      </c>
      <c r="T330" s="2">
        <v>2629</v>
      </c>
    </row>
    <row r="331" spans="1:20" x14ac:dyDescent="0.25">
      <c r="A331" s="2">
        <v>2347167796</v>
      </c>
      <c r="B331" s="3">
        <v>42484</v>
      </c>
      <c r="C331" t="str">
        <f t="shared" si="26"/>
        <v>Sunday</v>
      </c>
      <c r="D331" t="str">
        <f t="shared" si="28"/>
        <v>Weekend</v>
      </c>
      <c r="E331" s="2">
        <v>9471</v>
      </c>
      <c r="F331" s="2">
        <v>6.2600002290000001</v>
      </c>
      <c r="G331" s="2">
        <v>6.2600002290000001</v>
      </c>
      <c r="H331" s="2">
        <v>0</v>
      </c>
      <c r="I331" s="2">
        <v>0</v>
      </c>
      <c r="J331" s="2">
        <v>0</v>
      </c>
      <c r="K331" s="2">
        <v>6.2600002290000001</v>
      </c>
      <c r="L331" s="2">
        <v>0</v>
      </c>
      <c r="M331" s="2">
        <v>0</v>
      </c>
      <c r="N331" s="2">
        <v>0</v>
      </c>
      <c r="O331" s="2">
        <v>360</v>
      </c>
      <c r="P331" s="2">
        <v>584</v>
      </c>
      <c r="Q331" s="2">
        <f t="shared" si="27"/>
        <v>360</v>
      </c>
      <c r="R331" s="2">
        <f t="shared" si="25"/>
        <v>944</v>
      </c>
      <c r="S331" t="str">
        <f t="shared" si="29"/>
        <v>Fairly Active</v>
      </c>
      <c r="T331" s="2">
        <v>2187</v>
      </c>
    </row>
    <row r="332" spans="1:20" x14ac:dyDescent="0.25">
      <c r="A332" s="2">
        <v>2347167796</v>
      </c>
      <c r="B332" s="3">
        <v>42485</v>
      </c>
      <c r="C332" t="str">
        <f t="shared" si="26"/>
        <v>Monday</v>
      </c>
      <c r="D332" t="str">
        <f t="shared" si="28"/>
        <v>Weekday</v>
      </c>
      <c r="E332" s="2">
        <v>9482</v>
      </c>
      <c r="F332" s="2">
        <v>6.3800001139999996</v>
      </c>
      <c r="G332" s="2">
        <v>6.3800001139999996</v>
      </c>
      <c r="H332" s="2">
        <v>0</v>
      </c>
      <c r="I332" s="2">
        <v>1.269999981</v>
      </c>
      <c r="J332" s="2">
        <v>0.519999981</v>
      </c>
      <c r="K332" s="2">
        <v>4.5999999049999998</v>
      </c>
      <c r="L332" s="2">
        <v>0</v>
      </c>
      <c r="M332" s="2">
        <v>15</v>
      </c>
      <c r="N332" s="2">
        <v>11</v>
      </c>
      <c r="O332" s="2">
        <v>277</v>
      </c>
      <c r="P332" s="2">
        <v>653</v>
      </c>
      <c r="Q332" s="2">
        <f t="shared" si="27"/>
        <v>303</v>
      </c>
      <c r="R332" s="2">
        <f t="shared" si="25"/>
        <v>956</v>
      </c>
      <c r="S332" t="str">
        <f t="shared" si="29"/>
        <v>Fairly Active</v>
      </c>
      <c r="T332" s="2">
        <v>2095</v>
      </c>
    </row>
    <row r="333" spans="1:20" x14ac:dyDescent="0.25">
      <c r="A333" s="2">
        <v>2347167796</v>
      </c>
      <c r="B333" s="3">
        <v>42486</v>
      </c>
      <c r="C333" t="str">
        <f t="shared" si="26"/>
        <v>Tuesday</v>
      </c>
      <c r="D333" t="str">
        <f t="shared" si="28"/>
        <v>Weekday</v>
      </c>
      <c r="E333" s="2">
        <v>5980</v>
      </c>
      <c r="F333" s="2">
        <v>3.9500000480000002</v>
      </c>
      <c r="G333" s="2">
        <v>3.9500000480000002</v>
      </c>
      <c r="H333" s="2">
        <v>0</v>
      </c>
      <c r="I333" s="2">
        <v>0</v>
      </c>
      <c r="J333" s="2">
        <v>0</v>
      </c>
      <c r="K333" s="2">
        <v>3.9500000480000002</v>
      </c>
      <c r="L333" s="2">
        <v>0</v>
      </c>
      <c r="M333" s="2">
        <v>0</v>
      </c>
      <c r="N333" s="2">
        <v>0</v>
      </c>
      <c r="O333" s="2">
        <v>227</v>
      </c>
      <c r="P333" s="2">
        <v>732</v>
      </c>
      <c r="Q333" s="2">
        <f t="shared" si="27"/>
        <v>227</v>
      </c>
      <c r="R333" s="2">
        <f t="shared" si="25"/>
        <v>959</v>
      </c>
      <c r="S333" t="str">
        <f t="shared" si="29"/>
        <v>Lightly Active</v>
      </c>
      <c r="T333" s="2">
        <v>1861</v>
      </c>
    </row>
    <row r="334" spans="1:20" x14ac:dyDescent="0.25">
      <c r="A334" s="2">
        <v>2347167796</v>
      </c>
      <c r="B334" s="3">
        <v>42487</v>
      </c>
      <c r="C334" t="str">
        <f t="shared" si="26"/>
        <v>Wednesday</v>
      </c>
      <c r="D334" t="str">
        <f t="shared" si="28"/>
        <v>Weekday</v>
      </c>
      <c r="E334" s="2">
        <v>11423</v>
      </c>
      <c r="F334" s="2">
        <v>7.579999924</v>
      </c>
      <c r="G334" s="2">
        <v>7.579999924</v>
      </c>
      <c r="H334" s="2">
        <v>0</v>
      </c>
      <c r="I334" s="2">
        <v>1.8600000139999999</v>
      </c>
      <c r="J334" s="2">
        <v>0.40000000600000002</v>
      </c>
      <c r="K334" s="2">
        <v>5.3200001720000003</v>
      </c>
      <c r="L334" s="2">
        <v>0</v>
      </c>
      <c r="M334" s="2">
        <v>26</v>
      </c>
      <c r="N334" s="2">
        <v>9</v>
      </c>
      <c r="O334" s="2">
        <v>295</v>
      </c>
      <c r="P334" s="2">
        <v>623</v>
      </c>
      <c r="Q334" s="2">
        <f t="shared" si="27"/>
        <v>330</v>
      </c>
      <c r="R334" s="2">
        <f t="shared" si="25"/>
        <v>953</v>
      </c>
      <c r="S334" t="str">
        <f t="shared" si="29"/>
        <v>Highly Active</v>
      </c>
      <c r="T334" s="2">
        <v>2194</v>
      </c>
    </row>
    <row r="335" spans="1:20" x14ac:dyDescent="0.25">
      <c r="A335" s="2">
        <v>2347167796</v>
      </c>
      <c r="B335" s="3">
        <v>42488</v>
      </c>
      <c r="C335" t="str">
        <f t="shared" si="26"/>
        <v>Thursday</v>
      </c>
      <c r="D335" t="str">
        <f t="shared" si="28"/>
        <v>Weekday</v>
      </c>
      <c r="E335" s="2">
        <v>5439</v>
      </c>
      <c r="F335" s="2">
        <v>3.5999999049999998</v>
      </c>
      <c r="G335" s="2">
        <v>3.5999999049999998</v>
      </c>
      <c r="H335" s="2">
        <v>0</v>
      </c>
      <c r="I335" s="2">
        <v>0</v>
      </c>
      <c r="J335" s="2">
        <v>0</v>
      </c>
      <c r="K335" s="2">
        <v>3.5999999049999998</v>
      </c>
      <c r="L335" s="2">
        <v>0</v>
      </c>
      <c r="M335" s="2">
        <v>0</v>
      </c>
      <c r="N335" s="2">
        <v>0</v>
      </c>
      <c r="O335" s="2">
        <v>229</v>
      </c>
      <c r="P335" s="2">
        <v>764</v>
      </c>
      <c r="Q335" s="2">
        <f t="shared" si="27"/>
        <v>229</v>
      </c>
      <c r="R335" s="2">
        <f t="shared" si="25"/>
        <v>993</v>
      </c>
      <c r="S335" t="str">
        <f t="shared" si="29"/>
        <v>Lightly Active</v>
      </c>
      <c r="T335" s="2">
        <v>1854</v>
      </c>
    </row>
    <row r="336" spans="1:20" x14ac:dyDescent="0.25">
      <c r="A336" s="2">
        <v>2873212765</v>
      </c>
      <c r="B336" s="3">
        <v>42461</v>
      </c>
      <c r="C336" t="str">
        <f t="shared" si="26"/>
        <v>Friday</v>
      </c>
      <c r="D336" t="str">
        <f t="shared" si="28"/>
        <v>Weekday</v>
      </c>
      <c r="E336" s="2">
        <v>890</v>
      </c>
      <c r="F336" s="2">
        <v>0.60000002399999997</v>
      </c>
      <c r="G336" s="2">
        <v>0.60000002399999997</v>
      </c>
      <c r="H336" s="2">
        <v>0</v>
      </c>
      <c r="I336" s="2">
        <v>0</v>
      </c>
      <c r="J336" s="2">
        <v>0</v>
      </c>
      <c r="K336" s="2">
        <v>0.60000002399999997</v>
      </c>
      <c r="L336" s="2">
        <v>0</v>
      </c>
      <c r="M336" s="2">
        <v>0</v>
      </c>
      <c r="N336" s="2">
        <v>0</v>
      </c>
      <c r="O336" s="2">
        <v>41</v>
      </c>
      <c r="P336" s="2">
        <v>1399</v>
      </c>
      <c r="Q336" s="2">
        <f t="shared" si="27"/>
        <v>41</v>
      </c>
      <c r="R336" s="2">
        <f t="shared" si="25"/>
        <v>1440</v>
      </c>
      <c r="S336" t="str">
        <f t="shared" si="29"/>
        <v>Sedentary</v>
      </c>
      <c r="T336" s="2">
        <v>1335</v>
      </c>
    </row>
    <row r="337" spans="1:20" x14ac:dyDescent="0.25">
      <c r="A337" s="2">
        <v>2873212765</v>
      </c>
      <c r="B337" s="3">
        <v>42462</v>
      </c>
      <c r="C337" t="str">
        <f t="shared" si="26"/>
        <v>Saturday</v>
      </c>
      <c r="D337" t="str">
        <f t="shared" si="28"/>
        <v>Weekend</v>
      </c>
      <c r="E337" s="2">
        <v>2214</v>
      </c>
      <c r="F337" s="2">
        <v>1.4900000099999999</v>
      </c>
      <c r="G337" s="2">
        <v>1.4900000099999999</v>
      </c>
      <c r="H337" s="2">
        <v>0</v>
      </c>
      <c r="I337" s="2">
        <v>0</v>
      </c>
      <c r="J337" s="2">
        <v>0</v>
      </c>
      <c r="K337" s="2">
        <v>1.4900000099999999</v>
      </c>
      <c r="L337" s="2">
        <v>0</v>
      </c>
      <c r="M337" s="2">
        <v>0</v>
      </c>
      <c r="N337" s="2">
        <v>0</v>
      </c>
      <c r="O337" s="2">
        <v>197</v>
      </c>
      <c r="P337" s="2">
        <v>1243</v>
      </c>
      <c r="Q337" s="2">
        <f t="shared" si="27"/>
        <v>197</v>
      </c>
      <c r="R337" s="2">
        <f t="shared" si="25"/>
        <v>1440</v>
      </c>
      <c r="S337" t="str">
        <f t="shared" si="29"/>
        <v>Sedentary</v>
      </c>
      <c r="T337" s="2">
        <v>1559</v>
      </c>
    </row>
    <row r="338" spans="1:20" x14ac:dyDescent="0.25">
      <c r="A338" s="2">
        <v>2873212765</v>
      </c>
      <c r="B338" s="3">
        <v>42463</v>
      </c>
      <c r="C338" t="str">
        <f t="shared" si="26"/>
        <v>Sunday</v>
      </c>
      <c r="D338" t="str">
        <f t="shared" si="28"/>
        <v>Weekend</v>
      </c>
      <c r="E338" s="2">
        <v>7640</v>
      </c>
      <c r="F338" s="2">
        <v>5.1300001139999996</v>
      </c>
      <c r="G338" s="2">
        <v>5.1300001139999996</v>
      </c>
      <c r="H338" s="2">
        <v>0</v>
      </c>
      <c r="I338" s="2">
        <v>0.189999998</v>
      </c>
      <c r="J338" s="2">
        <v>0.80000001200000004</v>
      </c>
      <c r="K338" s="2">
        <v>4.1500000950000002</v>
      </c>
      <c r="L338" s="2">
        <v>0</v>
      </c>
      <c r="M338" s="2">
        <v>3</v>
      </c>
      <c r="N338" s="2">
        <v>15</v>
      </c>
      <c r="O338" s="2">
        <v>315</v>
      </c>
      <c r="P338" s="2">
        <v>1107</v>
      </c>
      <c r="Q338" s="2">
        <f t="shared" si="27"/>
        <v>333</v>
      </c>
      <c r="R338" s="2">
        <f t="shared" si="25"/>
        <v>1440</v>
      </c>
      <c r="S338" t="str">
        <f t="shared" si="29"/>
        <v>Fairly Active</v>
      </c>
      <c r="T338" s="2">
        <v>1845</v>
      </c>
    </row>
    <row r="339" spans="1:20" x14ac:dyDescent="0.25">
      <c r="A339" s="2">
        <v>2873212765</v>
      </c>
      <c r="B339" s="3">
        <v>42464</v>
      </c>
      <c r="C339" t="str">
        <f t="shared" si="26"/>
        <v>Monday</v>
      </c>
      <c r="D339" t="str">
        <f t="shared" si="28"/>
        <v>Weekday</v>
      </c>
      <c r="E339" s="2">
        <v>9713</v>
      </c>
      <c r="F339" s="2">
        <v>6.5300002099999999</v>
      </c>
      <c r="G339" s="2">
        <v>6.5300002099999999</v>
      </c>
      <c r="H339" s="2">
        <v>0</v>
      </c>
      <c r="I339" s="2">
        <v>0.34000000400000002</v>
      </c>
      <c r="J339" s="2">
        <v>0.88999998599999997</v>
      </c>
      <c r="K339" s="2">
        <v>5.2899999619999996</v>
      </c>
      <c r="L339" s="2">
        <v>0</v>
      </c>
      <c r="M339" s="2">
        <v>6</v>
      </c>
      <c r="N339" s="2">
        <v>24</v>
      </c>
      <c r="O339" s="2">
        <v>355</v>
      </c>
      <c r="P339" s="2">
        <v>1055</v>
      </c>
      <c r="Q339" s="2">
        <f t="shared" si="27"/>
        <v>385</v>
      </c>
      <c r="R339" s="2">
        <f t="shared" si="25"/>
        <v>1440</v>
      </c>
      <c r="S339" t="str">
        <f t="shared" si="29"/>
        <v>Fairly Active</v>
      </c>
      <c r="T339" s="2">
        <v>2046</v>
      </c>
    </row>
    <row r="340" spans="1:20" x14ac:dyDescent="0.25">
      <c r="A340" s="2">
        <v>2873212765</v>
      </c>
      <c r="B340" s="3">
        <v>42465</v>
      </c>
      <c r="C340" t="str">
        <f t="shared" si="26"/>
        <v>Tuesday</v>
      </c>
      <c r="D340" t="str">
        <f t="shared" si="28"/>
        <v>Weekday</v>
      </c>
      <c r="E340" s="2">
        <v>8432</v>
      </c>
      <c r="F340" s="2">
        <v>5.670000076</v>
      </c>
      <c r="G340" s="2">
        <v>5.670000076</v>
      </c>
      <c r="H340" s="2">
        <v>0</v>
      </c>
      <c r="I340" s="2">
        <v>0</v>
      </c>
      <c r="J340" s="2">
        <v>0</v>
      </c>
      <c r="K340" s="2">
        <v>5.6500000950000002</v>
      </c>
      <c r="L340" s="2">
        <v>0.01</v>
      </c>
      <c r="M340" s="2">
        <v>0</v>
      </c>
      <c r="N340" s="2">
        <v>0</v>
      </c>
      <c r="O340" s="2">
        <v>374</v>
      </c>
      <c r="P340" s="2">
        <v>1066</v>
      </c>
      <c r="Q340" s="2">
        <f t="shared" si="27"/>
        <v>374</v>
      </c>
      <c r="R340" s="2">
        <f t="shared" si="25"/>
        <v>1440</v>
      </c>
      <c r="S340" t="str">
        <f t="shared" si="29"/>
        <v>Fairly Active</v>
      </c>
      <c r="T340" s="2">
        <v>1953</v>
      </c>
    </row>
    <row r="341" spans="1:20" x14ac:dyDescent="0.25">
      <c r="A341" s="2">
        <v>2873212765</v>
      </c>
      <c r="B341" s="3">
        <v>42466</v>
      </c>
      <c r="C341" t="str">
        <f t="shared" si="26"/>
        <v>Wednesday</v>
      </c>
      <c r="D341" t="str">
        <f t="shared" si="28"/>
        <v>Weekday</v>
      </c>
      <c r="E341" s="2">
        <v>7350</v>
      </c>
      <c r="F341" s="2">
        <v>4.9400000569999998</v>
      </c>
      <c r="G341" s="2">
        <v>4.9400000569999998</v>
      </c>
      <c r="H341" s="2">
        <v>0</v>
      </c>
      <c r="I341" s="2">
        <v>0</v>
      </c>
      <c r="J341" s="2">
        <v>0</v>
      </c>
      <c r="K341" s="2">
        <v>4.9400000569999998</v>
      </c>
      <c r="L341" s="2">
        <v>0</v>
      </c>
      <c r="M341" s="2">
        <v>0</v>
      </c>
      <c r="N341" s="2">
        <v>0</v>
      </c>
      <c r="O341" s="2">
        <v>382</v>
      </c>
      <c r="P341" s="2">
        <v>1058</v>
      </c>
      <c r="Q341" s="2">
        <f t="shared" si="27"/>
        <v>382</v>
      </c>
      <c r="R341" s="2">
        <f t="shared" si="25"/>
        <v>1440</v>
      </c>
      <c r="S341" t="str">
        <f t="shared" si="29"/>
        <v>Lightly Active</v>
      </c>
      <c r="T341" s="2">
        <v>1910</v>
      </c>
    </row>
    <row r="342" spans="1:20" x14ac:dyDescent="0.25">
      <c r="A342" s="2">
        <v>2873212765</v>
      </c>
      <c r="B342" s="3">
        <v>42467</v>
      </c>
      <c r="C342" t="str">
        <f t="shared" si="26"/>
        <v>Thursday</v>
      </c>
      <c r="D342" t="str">
        <f t="shared" si="28"/>
        <v>Weekday</v>
      </c>
      <c r="E342" s="2">
        <v>9353</v>
      </c>
      <c r="F342" s="2">
        <v>6.3099999430000002</v>
      </c>
      <c r="G342" s="2">
        <v>6.3099999430000002</v>
      </c>
      <c r="H342" s="2">
        <v>0</v>
      </c>
      <c r="I342" s="2">
        <v>0.37000000500000002</v>
      </c>
      <c r="J342" s="2">
        <v>0.689999998</v>
      </c>
      <c r="K342" s="2">
        <v>5.2399997709999999</v>
      </c>
      <c r="L342" s="2">
        <v>0</v>
      </c>
      <c r="M342" s="2">
        <v>5</v>
      </c>
      <c r="N342" s="2">
        <v>17</v>
      </c>
      <c r="O342" s="2">
        <v>363</v>
      </c>
      <c r="P342" s="2">
        <v>1055</v>
      </c>
      <c r="Q342" s="2">
        <f t="shared" si="27"/>
        <v>385</v>
      </c>
      <c r="R342" s="2">
        <f t="shared" si="25"/>
        <v>1440</v>
      </c>
      <c r="S342" t="str">
        <f t="shared" si="29"/>
        <v>Fairly Active</v>
      </c>
      <c r="T342" s="2">
        <v>2035</v>
      </c>
    </row>
    <row r="343" spans="1:20" x14ac:dyDescent="0.25">
      <c r="A343" s="2">
        <v>2873212765</v>
      </c>
      <c r="B343" s="3">
        <v>42468</v>
      </c>
      <c r="C343" t="str">
        <f t="shared" si="26"/>
        <v>Friday</v>
      </c>
      <c r="D343" t="str">
        <f t="shared" si="28"/>
        <v>Weekday</v>
      </c>
      <c r="E343" s="2">
        <v>7157</v>
      </c>
      <c r="F343" s="2">
        <v>4.8099999430000002</v>
      </c>
      <c r="G343" s="2">
        <v>4.8099999430000002</v>
      </c>
      <c r="H343" s="2">
        <v>0</v>
      </c>
      <c r="I343" s="2">
        <v>0</v>
      </c>
      <c r="J343" s="2">
        <v>0</v>
      </c>
      <c r="K343" s="2">
        <v>4.8099999430000002</v>
      </c>
      <c r="L343" s="2">
        <v>0</v>
      </c>
      <c r="M343" s="2">
        <v>0</v>
      </c>
      <c r="N343" s="2">
        <v>0</v>
      </c>
      <c r="O343" s="2">
        <v>380</v>
      </c>
      <c r="P343" s="2">
        <v>1060</v>
      </c>
      <c r="Q343" s="2">
        <f t="shared" si="27"/>
        <v>380</v>
      </c>
      <c r="R343" s="2">
        <f t="shared" si="25"/>
        <v>1440</v>
      </c>
      <c r="S343" t="str">
        <f t="shared" si="29"/>
        <v>Lightly Active</v>
      </c>
      <c r="T343" s="2">
        <v>1944</v>
      </c>
    </row>
    <row r="344" spans="1:20" x14ac:dyDescent="0.25">
      <c r="A344" s="2">
        <v>2873212765</v>
      </c>
      <c r="B344" s="3">
        <v>42469</v>
      </c>
      <c r="C344" t="str">
        <f t="shared" si="26"/>
        <v>Saturday</v>
      </c>
      <c r="D344" t="str">
        <f t="shared" si="28"/>
        <v>Weekend</v>
      </c>
      <c r="E344" s="2">
        <v>14103</v>
      </c>
      <c r="F344" s="2">
        <v>9.5600004199999997</v>
      </c>
      <c r="G344" s="2">
        <v>9.5600004199999997</v>
      </c>
      <c r="H344" s="2">
        <v>0</v>
      </c>
      <c r="I344" s="2">
        <v>3.0199999809999998</v>
      </c>
      <c r="J344" s="2">
        <v>0.40999999599999998</v>
      </c>
      <c r="K344" s="2">
        <v>6.1399998660000001</v>
      </c>
      <c r="L344" s="2">
        <v>0.01</v>
      </c>
      <c r="M344" s="2">
        <v>46</v>
      </c>
      <c r="N344" s="2">
        <v>8</v>
      </c>
      <c r="O344" s="2">
        <v>288</v>
      </c>
      <c r="P344" s="2">
        <v>1098</v>
      </c>
      <c r="Q344" s="2">
        <f t="shared" si="27"/>
        <v>342</v>
      </c>
      <c r="R344" s="2">
        <f t="shared" si="25"/>
        <v>1440</v>
      </c>
      <c r="S344" t="str">
        <f t="shared" si="29"/>
        <v>Highly Active</v>
      </c>
      <c r="T344" s="2">
        <v>2257</v>
      </c>
    </row>
    <row r="345" spans="1:20" x14ac:dyDescent="0.25">
      <c r="A345" s="2">
        <v>2873212765</v>
      </c>
      <c r="B345" s="3">
        <v>42470</v>
      </c>
      <c r="C345" t="str">
        <f t="shared" si="26"/>
        <v>Sunday</v>
      </c>
      <c r="D345" t="str">
        <f t="shared" si="28"/>
        <v>Weekend</v>
      </c>
      <c r="E345" s="2">
        <v>5290</v>
      </c>
      <c r="F345" s="2">
        <v>3.5499999519999998</v>
      </c>
      <c r="G345" s="2">
        <v>3.5499999519999998</v>
      </c>
      <c r="H345" s="2">
        <v>0</v>
      </c>
      <c r="I345" s="2">
        <v>3.9999999000000001E-2</v>
      </c>
      <c r="J345" s="2">
        <v>0.34000000400000002</v>
      </c>
      <c r="K345" s="2">
        <v>3.170000076</v>
      </c>
      <c r="L345" s="2">
        <v>0</v>
      </c>
      <c r="M345" s="2">
        <v>1</v>
      </c>
      <c r="N345" s="2">
        <v>8</v>
      </c>
      <c r="O345" s="2">
        <v>251</v>
      </c>
      <c r="P345" s="2">
        <v>1180</v>
      </c>
      <c r="Q345" s="2">
        <f t="shared" si="27"/>
        <v>260</v>
      </c>
      <c r="R345" s="2">
        <f t="shared" si="25"/>
        <v>1440</v>
      </c>
      <c r="S345" t="str">
        <f t="shared" si="29"/>
        <v>Lightly Active</v>
      </c>
      <c r="T345" s="2">
        <v>1724</v>
      </c>
    </row>
    <row r="346" spans="1:20" x14ac:dyDescent="0.25">
      <c r="A346" s="2">
        <v>2873212765</v>
      </c>
      <c r="B346" s="3">
        <v>42471</v>
      </c>
      <c r="C346" t="str">
        <f t="shared" si="26"/>
        <v>Monday</v>
      </c>
      <c r="D346" t="str">
        <f t="shared" si="28"/>
        <v>Weekday</v>
      </c>
      <c r="E346" s="2">
        <v>7497</v>
      </c>
      <c r="F346" s="2">
        <v>5.0399999619999996</v>
      </c>
      <c r="G346" s="2">
        <v>5.0399999619999996</v>
      </c>
      <c r="H346" s="2">
        <v>0</v>
      </c>
      <c r="I346" s="2">
        <v>0</v>
      </c>
      <c r="J346" s="2">
        <v>0</v>
      </c>
      <c r="K346" s="2">
        <v>5.0399999619999996</v>
      </c>
      <c r="L346" s="2">
        <v>0</v>
      </c>
      <c r="M346" s="2">
        <v>0</v>
      </c>
      <c r="N346" s="2">
        <v>0</v>
      </c>
      <c r="O346" s="2">
        <v>357</v>
      </c>
      <c r="P346" s="2">
        <v>882</v>
      </c>
      <c r="Q346" s="2">
        <f t="shared" si="27"/>
        <v>357</v>
      </c>
      <c r="R346" s="2">
        <f t="shared" si="25"/>
        <v>1239</v>
      </c>
      <c r="S346" t="str">
        <f t="shared" si="29"/>
        <v>Lightly Active</v>
      </c>
      <c r="T346" s="2">
        <v>1741</v>
      </c>
    </row>
    <row r="347" spans="1:20" x14ac:dyDescent="0.25">
      <c r="A347" s="2">
        <v>2873212765</v>
      </c>
      <c r="B347" s="3">
        <v>42473</v>
      </c>
      <c r="C347" t="str">
        <f t="shared" si="26"/>
        <v>Wednesday</v>
      </c>
      <c r="D347" t="str">
        <f t="shared" si="28"/>
        <v>Weekday</v>
      </c>
      <c r="E347" s="2">
        <v>7618</v>
      </c>
      <c r="F347" s="2">
        <v>5.1199998860000004</v>
      </c>
      <c r="G347" s="2">
        <v>5.1199998860000004</v>
      </c>
      <c r="H347" s="2">
        <v>0</v>
      </c>
      <c r="I347" s="2">
        <v>0</v>
      </c>
      <c r="J347" s="2">
        <v>0.219999999</v>
      </c>
      <c r="K347" s="2">
        <v>4.8800001139999996</v>
      </c>
      <c r="L347" s="2">
        <v>0.02</v>
      </c>
      <c r="M347" s="2">
        <v>0</v>
      </c>
      <c r="N347" s="2">
        <v>8</v>
      </c>
      <c r="O347" s="2">
        <v>404</v>
      </c>
      <c r="P347" s="2">
        <v>1028</v>
      </c>
      <c r="Q347" s="2">
        <f t="shared" si="27"/>
        <v>412</v>
      </c>
      <c r="R347" s="2">
        <f t="shared" si="25"/>
        <v>1440</v>
      </c>
      <c r="S347" t="str">
        <f t="shared" si="29"/>
        <v>Fairly Active</v>
      </c>
      <c r="T347" s="2">
        <v>2004</v>
      </c>
    </row>
    <row r="348" spans="1:20" x14ac:dyDescent="0.25">
      <c r="A348" s="2">
        <v>2873212765</v>
      </c>
      <c r="B348" s="3">
        <v>42474</v>
      </c>
      <c r="C348" t="str">
        <f t="shared" si="26"/>
        <v>Thursday</v>
      </c>
      <c r="D348" t="str">
        <f t="shared" si="28"/>
        <v>Weekday</v>
      </c>
      <c r="E348" s="2">
        <v>7910</v>
      </c>
      <c r="F348" s="2">
        <v>5.3200001720000003</v>
      </c>
      <c r="G348" s="2">
        <v>5.3200001720000003</v>
      </c>
      <c r="H348" s="2">
        <v>0</v>
      </c>
      <c r="I348" s="2">
        <v>0</v>
      </c>
      <c r="J348" s="2">
        <v>0</v>
      </c>
      <c r="K348" s="2">
        <v>5.3200001720000003</v>
      </c>
      <c r="L348" s="2">
        <v>0</v>
      </c>
      <c r="M348" s="2">
        <v>0</v>
      </c>
      <c r="N348" s="2">
        <v>0</v>
      </c>
      <c r="O348" s="2">
        <v>331</v>
      </c>
      <c r="P348" s="2">
        <v>1109</v>
      </c>
      <c r="Q348" s="2">
        <f t="shared" si="27"/>
        <v>331</v>
      </c>
      <c r="R348" s="2">
        <f t="shared" si="25"/>
        <v>1440</v>
      </c>
      <c r="S348" t="str">
        <f t="shared" si="29"/>
        <v>Fairly Active</v>
      </c>
      <c r="T348" s="2">
        <v>1893</v>
      </c>
    </row>
    <row r="349" spans="1:20" x14ac:dyDescent="0.25">
      <c r="A349" s="2">
        <v>2873212765</v>
      </c>
      <c r="B349" s="3">
        <v>42475</v>
      </c>
      <c r="C349" t="str">
        <f t="shared" si="26"/>
        <v>Friday</v>
      </c>
      <c r="D349" t="str">
        <f t="shared" si="28"/>
        <v>Weekday</v>
      </c>
      <c r="E349" s="2">
        <v>8482</v>
      </c>
      <c r="F349" s="2">
        <v>5.6999998090000004</v>
      </c>
      <c r="G349" s="2">
        <v>5.6999998090000004</v>
      </c>
      <c r="H349" s="2">
        <v>0</v>
      </c>
      <c r="I349" s="2">
        <v>0</v>
      </c>
      <c r="J349" s="2">
        <v>0</v>
      </c>
      <c r="K349" s="2">
        <v>5.6900000569999998</v>
      </c>
      <c r="L349" s="2">
        <v>0.01</v>
      </c>
      <c r="M349" s="2">
        <v>0</v>
      </c>
      <c r="N349" s="2">
        <v>0</v>
      </c>
      <c r="O349" s="2">
        <v>448</v>
      </c>
      <c r="P349" s="2">
        <v>992</v>
      </c>
      <c r="Q349" s="2">
        <f t="shared" si="27"/>
        <v>448</v>
      </c>
      <c r="R349" s="2">
        <f t="shared" si="25"/>
        <v>1440</v>
      </c>
      <c r="S349" t="str">
        <f t="shared" si="29"/>
        <v>Fairly Active</v>
      </c>
      <c r="T349" s="2">
        <v>2063</v>
      </c>
    </row>
    <row r="350" spans="1:20" x14ac:dyDescent="0.25">
      <c r="A350" s="2">
        <v>2873212765</v>
      </c>
      <c r="B350" s="3">
        <v>42476</v>
      </c>
      <c r="C350" t="str">
        <f t="shared" si="26"/>
        <v>Saturday</v>
      </c>
      <c r="D350" t="str">
        <f t="shared" si="28"/>
        <v>Weekend</v>
      </c>
      <c r="E350" s="2">
        <v>9685</v>
      </c>
      <c r="F350" s="2">
        <v>6.6500000950000002</v>
      </c>
      <c r="G350" s="2">
        <v>6.6500000950000002</v>
      </c>
      <c r="H350" s="2">
        <v>0</v>
      </c>
      <c r="I350" s="2">
        <v>3.1099998950000001</v>
      </c>
      <c r="J350" s="2">
        <v>0.02</v>
      </c>
      <c r="K350" s="2">
        <v>3.5099999899999998</v>
      </c>
      <c r="L350" s="2">
        <v>0.01</v>
      </c>
      <c r="M350" s="2">
        <v>47</v>
      </c>
      <c r="N350" s="2">
        <v>1</v>
      </c>
      <c r="O350" s="2">
        <v>305</v>
      </c>
      <c r="P350" s="2">
        <v>1087</v>
      </c>
      <c r="Q350" s="2">
        <f t="shared" si="27"/>
        <v>353</v>
      </c>
      <c r="R350" s="2">
        <f t="shared" si="25"/>
        <v>1440</v>
      </c>
      <c r="S350" t="str">
        <f t="shared" si="29"/>
        <v>Fairly Active</v>
      </c>
      <c r="T350" s="2">
        <v>2148</v>
      </c>
    </row>
    <row r="351" spans="1:20" x14ac:dyDescent="0.25">
      <c r="A351" s="2">
        <v>2873212765</v>
      </c>
      <c r="B351" s="3">
        <v>42477</v>
      </c>
      <c r="C351" t="str">
        <f t="shared" si="26"/>
        <v>Sunday</v>
      </c>
      <c r="D351" t="str">
        <f t="shared" si="28"/>
        <v>Weekend</v>
      </c>
      <c r="E351" s="2">
        <v>2524</v>
      </c>
      <c r="F351" s="2">
        <v>1.7000000479999999</v>
      </c>
      <c r="G351" s="2">
        <v>1.7000000479999999</v>
      </c>
      <c r="H351" s="2">
        <v>0</v>
      </c>
      <c r="I351" s="2">
        <v>0</v>
      </c>
      <c r="J351" s="2">
        <v>0.34999999399999998</v>
      </c>
      <c r="K351" s="2">
        <v>1.3400000329999999</v>
      </c>
      <c r="L351" s="2">
        <v>0</v>
      </c>
      <c r="M351" s="2">
        <v>0</v>
      </c>
      <c r="N351" s="2">
        <v>8</v>
      </c>
      <c r="O351" s="2">
        <v>160</v>
      </c>
      <c r="P351" s="2">
        <v>1272</v>
      </c>
      <c r="Q351" s="2">
        <f t="shared" si="27"/>
        <v>168</v>
      </c>
      <c r="R351" s="2">
        <f t="shared" si="25"/>
        <v>1440</v>
      </c>
      <c r="S351" t="str">
        <f t="shared" si="29"/>
        <v>Sedentary</v>
      </c>
      <c r="T351" s="2">
        <v>1529</v>
      </c>
    </row>
    <row r="352" spans="1:20" x14ac:dyDescent="0.25">
      <c r="A352" s="2">
        <v>2873212765</v>
      </c>
      <c r="B352" s="3">
        <v>42478</v>
      </c>
      <c r="C352" t="str">
        <f t="shared" si="26"/>
        <v>Monday</v>
      </c>
      <c r="D352" t="str">
        <f t="shared" si="28"/>
        <v>Weekday</v>
      </c>
      <c r="E352" s="2">
        <v>7762</v>
      </c>
      <c r="F352" s="2">
        <v>5.2399997709999999</v>
      </c>
      <c r="G352" s="2">
        <v>5.2399997709999999</v>
      </c>
      <c r="H352" s="2">
        <v>0</v>
      </c>
      <c r="I352" s="2">
        <v>7.0000000000000007E-2</v>
      </c>
      <c r="J352" s="2">
        <v>0.280000001</v>
      </c>
      <c r="K352" s="2">
        <v>4.8899998660000001</v>
      </c>
      <c r="L352" s="2">
        <v>0</v>
      </c>
      <c r="M352" s="2">
        <v>1</v>
      </c>
      <c r="N352" s="2">
        <v>6</v>
      </c>
      <c r="O352" s="2">
        <v>311</v>
      </c>
      <c r="P352" s="2">
        <v>1122</v>
      </c>
      <c r="Q352" s="2">
        <f t="shared" si="27"/>
        <v>318</v>
      </c>
      <c r="R352" s="2">
        <f t="shared" si="25"/>
        <v>1440</v>
      </c>
      <c r="S352" t="str">
        <f t="shared" si="29"/>
        <v>Fairly Active</v>
      </c>
      <c r="T352" s="2">
        <v>1890</v>
      </c>
    </row>
    <row r="353" spans="1:20" x14ac:dyDescent="0.25">
      <c r="A353" s="2">
        <v>2873212765</v>
      </c>
      <c r="B353" s="3">
        <v>42479</v>
      </c>
      <c r="C353" t="str">
        <f t="shared" si="26"/>
        <v>Tuesday</v>
      </c>
      <c r="D353" t="str">
        <f t="shared" si="28"/>
        <v>Weekday</v>
      </c>
      <c r="E353" s="2">
        <v>7948</v>
      </c>
      <c r="F353" s="2">
        <v>5.3699998860000004</v>
      </c>
      <c r="G353" s="2">
        <v>5.3699998860000004</v>
      </c>
      <c r="H353" s="2">
        <v>0</v>
      </c>
      <c r="I353" s="2">
        <v>0</v>
      </c>
      <c r="J353" s="2">
        <v>0</v>
      </c>
      <c r="K353" s="2">
        <v>5.3600001339999999</v>
      </c>
      <c r="L353" s="2">
        <v>0</v>
      </c>
      <c r="M353" s="2">
        <v>0</v>
      </c>
      <c r="N353" s="2">
        <v>0</v>
      </c>
      <c r="O353" s="2">
        <v>389</v>
      </c>
      <c r="P353" s="2">
        <v>1051</v>
      </c>
      <c r="Q353" s="2">
        <f t="shared" si="27"/>
        <v>389</v>
      </c>
      <c r="R353" s="2">
        <f t="shared" si="25"/>
        <v>1440</v>
      </c>
      <c r="S353" t="str">
        <f t="shared" si="29"/>
        <v>Fairly Active</v>
      </c>
      <c r="T353" s="2">
        <v>1956</v>
      </c>
    </row>
    <row r="354" spans="1:20" x14ac:dyDescent="0.25">
      <c r="A354" s="2">
        <v>2873212765</v>
      </c>
      <c r="B354" s="3">
        <v>42480</v>
      </c>
      <c r="C354" t="str">
        <f t="shared" si="26"/>
        <v>Wednesday</v>
      </c>
      <c r="D354" t="str">
        <f t="shared" si="28"/>
        <v>Weekday</v>
      </c>
      <c r="E354" s="2">
        <v>9202</v>
      </c>
      <c r="F354" s="2">
        <v>6.3000001909999996</v>
      </c>
      <c r="G354" s="2">
        <v>6.3000001909999996</v>
      </c>
      <c r="H354" s="2">
        <v>0</v>
      </c>
      <c r="I354" s="2">
        <v>1.5099999900000001</v>
      </c>
      <c r="J354" s="2">
        <v>0.119999997</v>
      </c>
      <c r="K354" s="2">
        <v>4.6599998469999999</v>
      </c>
      <c r="L354" s="2">
        <v>0.01</v>
      </c>
      <c r="M354" s="2">
        <v>22</v>
      </c>
      <c r="N354" s="2">
        <v>5</v>
      </c>
      <c r="O354" s="2">
        <v>378</v>
      </c>
      <c r="P354" s="2">
        <v>1035</v>
      </c>
      <c r="Q354" s="2">
        <f t="shared" si="27"/>
        <v>405</v>
      </c>
      <c r="R354" s="2">
        <f t="shared" si="25"/>
        <v>1440</v>
      </c>
      <c r="S354" t="str">
        <f t="shared" si="29"/>
        <v>Fairly Active</v>
      </c>
      <c r="T354" s="2">
        <v>2094</v>
      </c>
    </row>
    <row r="355" spans="1:20" x14ac:dyDescent="0.25">
      <c r="A355" s="2">
        <v>2873212765</v>
      </c>
      <c r="B355" s="3">
        <v>42481</v>
      </c>
      <c r="C355" t="str">
        <f t="shared" si="26"/>
        <v>Thursday</v>
      </c>
      <c r="D355" t="str">
        <f t="shared" si="28"/>
        <v>Weekday</v>
      </c>
      <c r="E355" s="2">
        <v>8859</v>
      </c>
      <c r="F355" s="2">
        <v>5.9800000190000002</v>
      </c>
      <c r="G355" s="2">
        <v>5.9800000190000002</v>
      </c>
      <c r="H355" s="2">
        <v>0</v>
      </c>
      <c r="I355" s="2">
        <v>0.12999999500000001</v>
      </c>
      <c r="J355" s="2">
        <v>0.37000000500000002</v>
      </c>
      <c r="K355" s="2">
        <v>5.4699997900000001</v>
      </c>
      <c r="L355" s="2">
        <v>0.01</v>
      </c>
      <c r="M355" s="2">
        <v>2</v>
      </c>
      <c r="N355" s="2">
        <v>10</v>
      </c>
      <c r="O355" s="2">
        <v>371</v>
      </c>
      <c r="P355" s="2">
        <v>1057</v>
      </c>
      <c r="Q355" s="2">
        <f t="shared" si="27"/>
        <v>383</v>
      </c>
      <c r="R355" s="2">
        <f t="shared" si="25"/>
        <v>1440</v>
      </c>
      <c r="S355" t="str">
        <f t="shared" si="29"/>
        <v>Fairly Active</v>
      </c>
      <c r="T355" s="2">
        <v>1970</v>
      </c>
    </row>
    <row r="356" spans="1:20" x14ac:dyDescent="0.25">
      <c r="A356" s="2">
        <v>2873212765</v>
      </c>
      <c r="B356" s="3">
        <v>42482</v>
      </c>
      <c r="C356" t="str">
        <f t="shared" si="26"/>
        <v>Friday</v>
      </c>
      <c r="D356" t="str">
        <f t="shared" si="28"/>
        <v>Weekday</v>
      </c>
      <c r="E356" s="2">
        <v>7286</v>
      </c>
      <c r="F356" s="2">
        <v>4.9000000950000002</v>
      </c>
      <c r="G356" s="2">
        <v>4.9000000950000002</v>
      </c>
      <c r="H356" s="2">
        <v>0</v>
      </c>
      <c r="I356" s="2">
        <v>0.46000000800000002</v>
      </c>
      <c r="J356" s="2">
        <v>0</v>
      </c>
      <c r="K356" s="2">
        <v>4.420000076</v>
      </c>
      <c r="L356" s="2">
        <v>0.02</v>
      </c>
      <c r="M356" s="2">
        <v>46</v>
      </c>
      <c r="N356" s="2">
        <v>0</v>
      </c>
      <c r="O356" s="2">
        <v>366</v>
      </c>
      <c r="P356" s="2">
        <v>1028</v>
      </c>
      <c r="Q356" s="2">
        <f t="shared" si="27"/>
        <v>412</v>
      </c>
      <c r="R356" s="2">
        <f t="shared" si="25"/>
        <v>1440</v>
      </c>
      <c r="S356" t="str">
        <f t="shared" si="29"/>
        <v>Lightly Active</v>
      </c>
      <c r="T356" s="2">
        <v>2241</v>
      </c>
    </row>
    <row r="357" spans="1:20" x14ac:dyDescent="0.25">
      <c r="A357" s="2">
        <v>2873212765</v>
      </c>
      <c r="B357" s="3">
        <v>42483</v>
      </c>
      <c r="C357" t="str">
        <f t="shared" si="26"/>
        <v>Saturday</v>
      </c>
      <c r="D357" t="str">
        <f t="shared" si="28"/>
        <v>Weekend</v>
      </c>
      <c r="E357" s="2">
        <v>9317</v>
      </c>
      <c r="F357" s="2">
        <v>6.3499999049999998</v>
      </c>
      <c r="G357" s="2">
        <v>6.3499999049999998</v>
      </c>
      <c r="H357" s="2">
        <v>0</v>
      </c>
      <c r="I357" s="2">
        <v>2.0899999139999998</v>
      </c>
      <c r="J357" s="2">
        <v>0.23000000400000001</v>
      </c>
      <c r="K357" s="2">
        <v>4.0199999809999998</v>
      </c>
      <c r="L357" s="2">
        <v>0.01</v>
      </c>
      <c r="M357" s="2">
        <v>28</v>
      </c>
      <c r="N357" s="2">
        <v>5</v>
      </c>
      <c r="O357" s="2">
        <v>330</v>
      </c>
      <c r="P357" s="2">
        <v>1077</v>
      </c>
      <c r="Q357" s="2">
        <f t="shared" si="27"/>
        <v>363</v>
      </c>
      <c r="R357" s="2">
        <f t="shared" si="25"/>
        <v>1440</v>
      </c>
      <c r="S357" t="str">
        <f t="shared" si="29"/>
        <v>Fairly Active</v>
      </c>
      <c r="T357" s="2">
        <v>2021</v>
      </c>
    </row>
    <row r="358" spans="1:20" x14ac:dyDescent="0.25">
      <c r="A358" s="2">
        <v>2873212765</v>
      </c>
      <c r="B358" s="3">
        <v>42484</v>
      </c>
      <c r="C358" t="str">
        <f t="shared" si="26"/>
        <v>Sunday</v>
      </c>
      <c r="D358" t="str">
        <f t="shared" si="28"/>
        <v>Weekend</v>
      </c>
      <c r="E358" s="2">
        <v>6873</v>
      </c>
      <c r="F358" s="2">
        <v>4.6799998279999997</v>
      </c>
      <c r="G358" s="2">
        <v>4.6799998279999997</v>
      </c>
      <c r="H358" s="2">
        <v>0</v>
      </c>
      <c r="I358" s="2">
        <v>3</v>
      </c>
      <c r="J358" s="2">
        <v>5.9999998999999998E-2</v>
      </c>
      <c r="K358" s="2">
        <v>1.6200000050000001</v>
      </c>
      <c r="L358" s="2">
        <v>0</v>
      </c>
      <c r="M358" s="2">
        <v>46</v>
      </c>
      <c r="N358" s="2">
        <v>1</v>
      </c>
      <c r="O358" s="2">
        <v>190</v>
      </c>
      <c r="P358" s="2">
        <v>1203</v>
      </c>
      <c r="Q358" s="2">
        <f t="shared" si="27"/>
        <v>237</v>
      </c>
      <c r="R358" s="2">
        <f t="shared" si="25"/>
        <v>1440</v>
      </c>
      <c r="S358" t="str">
        <f t="shared" si="29"/>
        <v>Lightly Active</v>
      </c>
      <c r="T358" s="2">
        <v>1898</v>
      </c>
    </row>
    <row r="359" spans="1:20" x14ac:dyDescent="0.25">
      <c r="A359" s="2">
        <v>2873212765</v>
      </c>
      <c r="B359" s="3">
        <v>42485</v>
      </c>
      <c r="C359" t="str">
        <f t="shared" si="26"/>
        <v>Monday</v>
      </c>
      <c r="D359" t="str">
        <f t="shared" si="28"/>
        <v>Weekday</v>
      </c>
      <c r="E359" s="2">
        <v>7373</v>
      </c>
      <c r="F359" s="2">
        <v>4.9499998090000004</v>
      </c>
      <c r="G359" s="2">
        <v>4.9499998090000004</v>
      </c>
      <c r="H359" s="2">
        <v>0</v>
      </c>
      <c r="I359" s="2">
        <v>0</v>
      </c>
      <c r="J359" s="2">
        <v>0</v>
      </c>
      <c r="K359" s="2">
        <v>4.9499998090000004</v>
      </c>
      <c r="L359" s="2">
        <v>0</v>
      </c>
      <c r="M359" s="2">
        <v>0</v>
      </c>
      <c r="N359" s="2">
        <v>0</v>
      </c>
      <c r="O359" s="2">
        <v>359</v>
      </c>
      <c r="P359" s="2">
        <v>1081</v>
      </c>
      <c r="Q359" s="2">
        <f t="shared" si="27"/>
        <v>359</v>
      </c>
      <c r="R359" s="2">
        <f t="shared" si="25"/>
        <v>1440</v>
      </c>
      <c r="S359" t="str">
        <f t="shared" si="29"/>
        <v>Lightly Active</v>
      </c>
      <c r="T359" s="2">
        <v>1907</v>
      </c>
    </row>
    <row r="360" spans="1:20" x14ac:dyDescent="0.25">
      <c r="A360" s="2">
        <v>2873212765</v>
      </c>
      <c r="B360" s="3">
        <v>42486</v>
      </c>
      <c r="C360" t="str">
        <f t="shared" si="26"/>
        <v>Tuesday</v>
      </c>
      <c r="D360" t="str">
        <f t="shared" si="28"/>
        <v>Weekday</v>
      </c>
      <c r="E360" s="2">
        <v>8242</v>
      </c>
      <c r="F360" s="2">
        <v>5.5399999619999996</v>
      </c>
      <c r="G360" s="2">
        <v>5.5399999619999996</v>
      </c>
      <c r="H360" s="2">
        <v>0</v>
      </c>
      <c r="I360" s="2">
        <v>0.119999997</v>
      </c>
      <c r="J360" s="2">
        <v>0.18000000699999999</v>
      </c>
      <c r="K360" s="2">
        <v>5.2399997709999999</v>
      </c>
      <c r="L360" s="2">
        <v>0</v>
      </c>
      <c r="M360" s="2">
        <v>2</v>
      </c>
      <c r="N360" s="2">
        <v>5</v>
      </c>
      <c r="O360" s="2">
        <v>309</v>
      </c>
      <c r="P360" s="2">
        <v>1124</v>
      </c>
      <c r="Q360" s="2">
        <f t="shared" si="27"/>
        <v>316</v>
      </c>
      <c r="R360" s="2">
        <f t="shared" si="25"/>
        <v>1440</v>
      </c>
      <c r="S360" t="str">
        <f t="shared" si="29"/>
        <v>Fairly Active</v>
      </c>
      <c r="T360" s="2">
        <v>1882</v>
      </c>
    </row>
    <row r="361" spans="1:20" x14ac:dyDescent="0.25">
      <c r="A361" s="2">
        <v>2873212765</v>
      </c>
      <c r="B361" s="3">
        <v>42487</v>
      </c>
      <c r="C361" t="str">
        <f t="shared" si="26"/>
        <v>Wednesday</v>
      </c>
      <c r="D361" t="str">
        <f t="shared" si="28"/>
        <v>Weekday</v>
      </c>
      <c r="E361" s="2">
        <v>3516</v>
      </c>
      <c r="F361" s="2">
        <v>2.3599998950000001</v>
      </c>
      <c r="G361" s="2">
        <v>2.3599998950000001</v>
      </c>
      <c r="H361" s="2">
        <v>0</v>
      </c>
      <c r="I361" s="2">
        <v>0</v>
      </c>
      <c r="J361" s="2">
        <v>0</v>
      </c>
      <c r="K361" s="2">
        <v>2.3599998950000001</v>
      </c>
      <c r="L361" s="2">
        <v>0</v>
      </c>
      <c r="M361" s="2">
        <v>46</v>
      </c>
      <c r="N361" s="2">
        <v>0</v>
      </c>
      <c r="O361" s="2">
        <v>197</v>
      </c>
      <c r="P361" s="2">
        <v>1197</v>
      </c>
      <c r="Q361" s="2">
        <f t="shared" si="27"/>
        <v>243</v>
      </c>
      <c r="R361" s="2">
        <f t="shared" si="25"/>
        <v>1440</v>
      </c>
      <c r="S361" t="str">
        <f t="shared" si="29"/>
        <v>Sedentary</v>
      </c>
      <c r="T361" s="2">
        <v>1966</v>
      </c>
    </row>
    <row r="362" spans="1:20" x14ac:dyDescent="0.25">
      <c r="A362" s="2">
        <v>2873212765</v>
      </c>
      <c r="B362" s="3">
        <v>42488</v>
      </c>
      <c r="C362" t="str">
        <f t="shared" si="26"/>
        <v>Thursday</v>
      </c>
      <c r="D362" t="str">
        <f t="shared" si="28"/>
        <v>Weekday</v>
      </c>
      <c r="E362" s="2">
        <v>7913</v>
      </c>
      <c r="F362" s="2">
        <v>5.4099998469999999</v>
      </c>
      <c r="G362" s="2">
        <v>5.4099998469999999</v>
      </c>
      <c r="H362" s="2">
        <v>0</v>
      </c>
      <c r="I362" s="2">
        <v>2.1600000860000002</v>
      </c>
      <c r="J362" s="2">
        <v>0.34000000400000002</v>
      </c>
      <c r="K362" s="2">
        <v>2.9100000860000002</v>
      </c>
      <c r="L362" s="2">
        <v>0</v>
      </c>
      <c r="M362" s="2">
        <v>28</v>
      </c>
      <c r="N362" s="2">
        <v>7</v>
      </c>
      <c r="O362" s="2">
        <v>213</v>
      </c>
      <c r="P362" s="2">
        <v>1192</v>
      </c>
      <c r="Q362" s="2">
        <f t="shared" si="27"/>
        <v>248</v>
      </c>
      <c r="R362" s="2">
        <f t="shared" si="25"/>
        <v>1440</v>
      </c>
      <c r="S362" t="str">
        <f t="shared" si="29"/>
        <v>Fairly Active</v>
      </c>
      <c r="T362" s="2">
        <v>1835</v>
      </c>
    </row>
    <row r="363" spans="1:20" x14ac:dyDescent="0.25">
      <c r="A363" s="2">
        <v>2873212765</v>
      </c>
      <c r="B363" s="3">
        <v>42489</v>
      </c>
      <c r="C363" t="str">
        <f t="shared" si="26"/>
        <v>Friday</v>
      </c>
      <c r="D363" t="str">
        <f t="shared" si="28"/>
        <v>Weekday</v>
      </c>
      <c r="E363" s="2">
        <v>7365</v>
      </c>
      <c r="F363" s="2">
        <v>4.9499998090000004</v>
      </c>
      <c r="G363" s="2">
        <v>4.9499998090000004</v>
      </c>
      <c r="H363" s="2">
        <v>0</v>
      </c>
      <c r="I363" s="2">
        <v>1.3600000139999999</v>
      </c>
      <c r="J363" s="2">
        <v>1.4099999670000001</v>
      </c>
      <c r="K363" s="2">
        <v>2.1800000669999999</v>
      </c>
      <c r="L363" s="2">
        <v>0</v>
      </c>
      <c r="M363" s="2">
        <v>20</v>
      </c>
      <c r="N363" s="2">
        <v>23</v>
      </c>
      <c r="O363" s="2">
        <v>206</v>
      </c>
      <c r="P363" s="2">
        <v>1191</v>
      </c>
      <c r="Q363" s="2">
        <f t="shared" si="27"/>
        <v>249</v>
      </c>
      <c r="R363" s="2">
        <f t="shared" si="25"/>
        <v>1440</v>
      </c>
      <c r="S363" t="str">
        <f t="shared" si="29"/>
        <v>Lightly Active</v>
      </c>
      <c r="T363" s="2">
        <v>1780</v>
      </c>
    </row>
    <row r="364" spans="1:20" x14ac:dyDescent="0.25">
      <c r="A364" s="2">
        <v>2873212765</v>
      </c>
      <c r="B364" s="3">
        <v>42490</v>
      </c>
      <c r="C364" t="str">
        <f t="shared" si="26"/>
        <v>Saturday</v>
      </c>
      <c r="D364" t="str">
        <f t="shared" si="28"/>
        <v>Weekend</v>
      </c>
      <c r="E364" s="2">
        <v>8452</v>
      </c>
      <c r="F364" s="2">
        <v>5.6799998279999997</v>
      </c>
      <c r="G364" s="2">
        <v>5.6799998279999997</v>
      </c>
      <c r="H364" s="2">
        <v>0</v>
      </c>
      <c r="I364" s="2">
        <v>0.33000001299999998</v>
      </c>
      <c r="J364" s="2">
        <v>1.0800000430000001</v>
      </c>
      <c r="K364" s="2">
        <v>4.2600002290000001</v>
      </c>
      <c r="L364" s="2">
        <v>0.01</v>
      </c>
      <c r="M364" s="2">
        <v>5</v>
      </c>
      <c r="N364" s="2">
        <v>20</v>
      </c>
      <c r="O364" s="2">
        <v>248</v>
      </c>
      <c r="P364" s="2">
        <v>1167</v>
      </c>
      <c r="Q364" s="2">
        <f t="shared" si="27"/>
        <v>273</v>
      </c>
      <c r="R364" s="2">
        <f t="shared" si="25"/>
        <v>1440</v>
      </c>
      <c r="S364" t="str">
        <f t="shared" si="29"/>
        <v>Fairly Active</v>
      </c>
      <c r="T364" s="2">
        <v>1830</v>
      </c>
    </row>
    <row r="365" spans="1:20" x14ac:dyDescent="0.25">
      <c r="A365" s="2">
        <v>2873212765</v>
      </c>
      <c r="B365" s="3">
        <v>42491</v>
      </c>
      <c r="C365" t="str">
        <f t="shared" si="26"/>
        <v>Sunday</v>
      </c>
      <c r="D365" t="str">
        <f t="shared" si="28"/>
        <v>Weekend</v>
      </c>
      <c r="E365" s="2">
        <v>7399</v>
      </c>
      <c r="F365" s="2">
        <v>4.9699997900000001</v>
      </c>
      <c r="G365" s="2">
        <v>4.9699997900000001</v>
      </c>
      <c r="H365" s="2">
        <v>0</v>
      </c>
      <c r="I365" s="2">
        <v>0.49000000999999999</v>
      </c>
      <c r="J365" s="2">
        <v>1.039999962</v>
      </c>
      <c r="K365" s="2">
        <v>3.4400000569999998</v>
      </c>
      <c r="L365" s="2">
        <v>0</v>
      </c>
      <c r="M365" s="2">
        <v>7</v>
      </c>
      <c r="N365" s="2">
        <v>18</v>
      </c>
      <c r="O365" s="2">
        <v>196</v>
      </c>
      <c r="P365" s="2">
        <v>1219</v>
      </c>
      <c r="Q365" s="2">
        <f t="shared" si="27"/>
        <v>221</v>
      </c>
      <c r="R365" s="2">
        <f t="shared" si="25"/>
        <v>1440</v>
      </c>
      <c r="S365" t="str">
        <f t="shared" si="29"/>
        <v>Lightly Active</v>
      </c>
      <c r="T365" s="2">
        <v>1739</v>
      </c>
    </row>
    <row r="366" spans="1:20" x14ac:dyDescent="0.25">
      <c r="A366" s="2">
        <v>2873212765</v>
      </c>
      <c r="B366" s="3">
        <v>42492</v>
      </c>
      <c r="C366" t="str">
        <f t="shared" si="26"/>
        <v>Monday</v>
      </c>
      <c r="D366" t="str">
        <f t="shared" si="28"/>
        <v>Weekday</v>
      </c>
      <c r="E366" s="2">
        <v>7525</v>
      </c>
      <c r="F366" s="2">
        <v>5.0599999430000002</v>
      </c>
      <c r="G366" s="2">
        <v>5.0599999430000002</v>
      </c>
      <c r="H366" s="2">
        <v>0</v>
      </c>
      <c r="I366" s="2">
        <v>0</v>
      </c>
      <c r="J366" s="2">
        <v>0.209999993</v>
      </c>
      <c r="K366" s="2">
        <v>4.829999924</v>
      </c>
      <c r="L366" s="2">
        <v>0.02</v>
      </c>
      <c r="M366" s="2">
        <v>0</v>
      </c>
      <c r="N366" s="2">
        <v>7</v>
      </c>
      <c r="O366" s="2">
        <v>334</v>
      </c>
      <c r="P366" s="2">
        <v>1099</v>
      </c>
      <c r="Q366" s="2">
        <f t="shared" si="27"/>
        <v>341</v>
      </c>
      <c r="R366" s="2">
        <f t="shared" si="25"/>
        <v>1440</v>
      </c>
      <c r="S366" t="str">
        <f t="shared" si="29"/>
        <v>Fairly Active</v>
      </c>
      <c r="T366" s="2">
        <v>1878</v>
      </c>
    </row>
    <row r="367" spans="1:20" x14ac:dyDescent="0.25">
      <c r="A367" s="2">
        <v>2873212765</v>
      </c>
      <c r="B367" s="3">
        <v>42493</v>
      </c>
      <c r="C367" t="str">
        <f t="shared" si="26"/>
        <v>Tuesday</v>
      </c>
      <c r="D367" t="str">
        <f t="shared" si="28"/>
        <v>Weekday</v>
      </c>
      <c r="E367" s="2">
        <v>7412</v>
      </c>
      <c r="F367" s="2">
        <v>4.9800000190000002</v>
      </c>
      <c r="G367" s="2">
        <v>4.9800000190000002</v>
      </c>
      <c r="H367" s="2">
        <v>0</v>
      </c>
      <c r="I367" s="2">
        <v>5.9999998999999998E-2</v>
      </c>
      <c r="J367" s="2">
        <v>0.25</v>
      </c>
      <c r="K367" s="2">
        <v>4.6599998469999999</v>
      </c>
      <c r="L367" s="2">
        <v>0.01</v>
      </c>
      <c r="M367" s="2">
        <v>1</v>
      </c>
      <c r="N367" s="2">
        <v>6</v>
      </c>
      <c r="O367" s="2">
        <v>363</v>
      </c>
      <c r="P367" s="2">
        <v>1070</v>
      </c>
      <c r="Q367" s="2">
        <f t="shared" si="27"/>
        <v>370</v>
      </c>
      <c r="R367" s="2">
        <f t="shared" si="25"/>
        <v>1440</v>
      </c>
      <c r="S367" t="str">
        <f t="shared" si="29"/>
        <v>Lightly Active</v>
      </c>
      <c r="T367" s="2">
        <v>1906</v>
      </c>
    </row>
    <row r="368" spans="1:20" x14ac:dyDescent="0.25">
      <c r="A368" s="2">
        <v>2873212765</v>
      </c>
      <c r="B368" s="3">
        <v>42494</v>
      </c>
      <c r="C368" t="str">
        <f t="shared" si="26"/>
        <v>Wednesday</v>
      </c>
      <c r="D368" t="str">
        <f t="shared" si="28"/>
        <v>Weekday</v>
      </c>
      <c r="E368" s="2">
        <v>8278</v>
      </c>
      <c r="F368" s="2">
        <v>5.5599999430000002</v>
      </c>
      <c r="G368" s="2">
        <v>5.5599999430000002</v>
      </c>
      <c r="H368" s="2">
        <v>0</v>
      </c>
      <c r="I368" s="2">
        <v>0</v>
      </c>
      <c r="J368" s="2">
        <v>0</v>
      </c>
      <c r="K368" s="2">
        <v>5.5599999430000002</v>
      </c>
      <c r="L368" s="2">
        <v>0</v>
      </c>
      <c r="M368" s="2">
        <v>0</v>
      </c>
      <c r="N368" s="2">
        <v>0</v>
      </c>
      <c r="O368" s="2">
        <v>420</v>
      </c>
      <c r="P368" s="2">
        <v>1020</v>
      </c>
      <c r="Q368" s="2">
        <f t="shared" si="27"/>
        <v>420</v>
      </c>
      <c r="R368" s="2">
        <f t="shared" si="25"/>
        <v>1440</v>
      </c>
      <c r="S368" t="str">
        <f t="shared" si="29"/>
        <v>Fairly Active</v>
      </c>
      <c r="T368" s="2">
        <v>2015</v>
      </c>
    </row>
    <row r="369" spans="1:20" x14ac:dyDescent="0.25">
      <c r="A369" s="2">
        <v>2873212765</v>
      </c>
      <c r="B369" s="3">
        <v>42495</v>
      </c>
      <c r="C369" t="str">
        <f t="shared" si="26"/>
        <v>Thursday</v>
      </c>
      <c r="D369" t="str">
        <f t="shared" si="28"/>
        <v>Weekday</v>
      </c>
      <c r="E369" s="2">
        <v>8314</v>
      </c>
      <c r="F369" s="2">
        <v>5.6100001339999999</v>
      </c>
      <c r="G369" s="2">
        <v>5.6100001339999999</v>
      </c>
      <c r="H369" s="2">
        <v>0</v>
      </c>
      <c r="I369" s="2">
        <v>0.77999997099999996</v>
      </c>
      <c r="J369" s="2">
        <v>0.80000001200000004</v>
      </c>
      <c r="K369" s="2">
        <v>4.0300002099999999</v>
      </c>
      <c r="L369" s="2">
        <v>0</v>
      </c>
      <c r="M369" s="2">
        <v>13</v>
      </c>
      <c r="N369" s="2">
        <v>23</v>
      </c>
      <c r="O369" s="2">
        <v>311</v>
      </c>
      <c r="P369" s="2">
        <v>1093</v>
      </c>
      <c r="Q369" s="2">
        <f t="shared" si="27"/>
        <v>347</v>
      </c>
      <c r="R369" s="2">
        <f t="shared" si="25"/>
        <v>1440</v>
      </c>
      <c r="S369" t="str">
        <f t="shared" si="29"/>
        <v>Fairly Active</v>
      </c>
      <c r="T369" s="2">
        <v>1971</v>
      </c>
    </row>
    <row r="370" spans="1:20" x14ac:dyDescent="0.25">
      <c r="A370" s="2">
        <v>2873212765</v>
      </c>
      <c r="B370" s="3">
        <v>42496</v>
      </c>
      <c r="C370" t="str">
        <f t="shared" si="26"/>
        <v>Friday</v>
      </c>
      <c r="D370" t="str">
        <f t="shared" si="28"/>
        <v>Weekday</v>
      </c>
      <c r="E370" s="2">
        <v>7063</v>
      </c>
      <c r="F370" s="2">
        <v>4.75</v>
      </c>
      <c r="G370" s="2">
        <v>4.75</v>
      </c>
      <c r="H370" s="2">
        <v>0</v>
      </c>
      <c r="I370" s="2">
        <v>0</v>
      </c>
      <c r="J370" s="2">
        <v>0.119999997</v>
      </c>
      <c r="K370" s="2">
        <v>4.6100001339999999</v>
      </c>
      <c r="L370" s="2">
        <v>0.01</v>
      </c>
      <c r="M370" s="2">
        <v>0</v>
      </c>
      <c r="N370" s="2">
        <v>5</v>
      </c>
      <c r="O370" s="2">
        <v>370</v>
      </c>
      <c r="P370" s="2">
        <v>1065</v>
      </c>
      <c r="Q370" s="2">
        <f t="shared" si="27"/>
        <v>375</v>
      </c>
      <c r="R370" s="2">
        <f t="shared" si="25"/>
        <v>1440</v>
      </c>
      <c r="S370" t="str">
        <f t="shared" si="29"/>
        <v>Lightly Active</v>
      </c>
      <c r="T370" s="2">
        <v>1910</v>
      </c>
    </row>
    <row r="371" spans="1:20" x14ac:dyDescent="0.25">
      <c r="A371" s="2">
        <v>2873212765</v>
      </c>
      <c r="B371" s="3">
        <v>42497</v>
      </c>
      <c r="C371" t="str">
        <f t="shared" si="26"/>
        <v>Saturday</v>
      </c>
      <c r="D371" t="str">
        <f t="shared" si="28"/>
        <v>Weekend</v>
      </c>
      <c r="E371" s="2">
        <v>4940</v>
      </c>
      <c r="F371" s="2">
        <v>3.380000114</v>
      </c>
      <c r="G371" s="2">
        <v>3.380000114</v>
      </c>
      <c r="H371" s="2">
        <v>0</v>
      </c>
      <c r="I371" s="2">
        <v>2.2799999710000001</v>
      </c>
      <c r="J371" s="2">
        <v>0.55000001200000004</v>
      </c>
      <c r="K371" s="2">
        <v>0.55000001200000004</v>
      </c>
      <c r="L371" s="2">
        <v>0</v>
      </c>
      <c r="M371" s="2">
        <v>75</v>
      </c>
      <c r="N371" s="2">
        <v>11</v>
      </c>
      <c r="O371" s="2">
        <v>52</v>
      </c>
      <c r="P371" s="2">
        <v>1302</v>
      </c>
      <c r="Q371" s="2">
        <f t="shared" si="27"/>
        <v>138</v>
      </c>
      <c r="R371" s="2">
        <f t="shared" si="25"/>
        <v>1440</v>
      </c>
      <c r="S371" t="str">
        <f t="shared" si="29"/>
        <v>Sedentary</v>
      </c>
      <c r="T371" s="2">
        <v>1897</v>
      </c>
    </row>
    <row r="372" spans="1:20" x14ac:dyDescent="0.25">
      <c r="A372" s="2">
        <v>2873212765</v>
      </c>
      <c r="B372" s="3">
        <v>42498</v>
      </c>
      <c r="C372" t="str">
        <f t="shared" si="26"/>
        <v>Sunday</v>
      </c>
      <c r="D372" t="str">
        <f t="shared" si="28"/>
        <v>Weekend</v>
      </c>
      <c r="E372" s="2">
        <v>8168</v>
      </c>
      <c r="F372" s="2">
        <v>5.5399999619999996</v>
      </c>
      <c r="G372" s="2">
        <v>5.5399999619999996</v>
      </c>
      <c r="H372" s="2">
        <v>0</v>
      </c>
      <c r="I372" s="2">
        <v>2.9000000950000002</v>
      </c>
      <c r="J372" s="2">
        <v>0</v>
      </c>
      <c r="K372" s="2">
        <v>2.6400001049999999</v>
      </c>
      <c r="L372" s="2">
        <v>0</v>
      </c>
      <c r="M372" s="2">
        <v>46</v>
      </c>
      <c r="N372" s="2">
        <v>0</v>
      </c>
      <c r="O372" s="2">
        <v>326</v>
      </c>
      <c r="P372" s="2">
        <v>1068</v>
      </c>
      <c r="Q372" s="2">
        <f t="shared" si="27"/>
        <v>372</v>
      </c>
      <c r="R372" s="2">
        <f t="shared" si="25"/>
        <v>1440</v>
      </c>
      <c r="S372" t="str">
        <f t="shared" si="29"/>
        <v>Fairly Active</v>
      </c>
      <c r="T372" s="2">
        <v>2096</v>
      </c>
    </row>
    <row r="373" spans="1:20" x14ac:dyDescent="0.25">
      <c r="A373" s="2">
        <v>2873212765</v>
      </c>
      <c r="B373" s="3">
        <v>42499</v>
      </c>
      <c r="C373" t="str">
        <f t="shared" si="26"/>
        <v>Monday</v>
      </c>
      <c r="D373" t="str">
        <f t="shared" si="28"/>
        <v>Weekday</v>
      </c>
      <c r="E373" s="2">
        <v>7726</v>
      </c>
      <c r="F373" s="2">
        <v>5.1900000569999998</v>
      </c>
      <c r="G373" s="2">
        <v>5.1900000569999998</v>
      </c>
      <c r="H373" s="2">
        <v>0</v>
      </c>
      <c r="I373" s="2">
        <v>0</v>
      </c>
      <c r="J373" s="2">
        <v>0</v>
      </c>
      <c r="K373" s="2">
        <v>5.1900000569999998</v>
      </c>
      <c r="L373" s="2">
        <v>0</v>
      </c>
      <c r="M373" s="2">
        <v>0</v>
      </c>
      <c r="N373" s="2">
        <v>0</v>
      </c>
      <c r="O373" s="2">
        <v>345</v>
      </c>
      <c r="P373" s="2">
        <v>1095</v>
      </c>
      <c r="Q373" s="2">
        <f t="shared" si="27"/>
        <v>345</v>
      </c>
      <c r="R373" s="2">
        <f t="shared" si="25"/>
        <v>1440</v>
      </c>
      <c r="S373" t="str">
        <f t="shared" si="29"/>
        <v>Fairly Active</v>
      </c>
      <c r="T373" s="2">
        <v>1906</v>
      </c>
    </row>
    <row r="374" spans="1:20" x14ac:dyDescent="0.25">
      <c r="A374" s="2">
        <v>2873212765</v>
      </c>
      <c r="B374" s="3">
        <v>42500</v>
      </c>
      <c r="C374" t="str">
        <f t="shared" si="26"/>
        <v>Tuesday</v>
      </c>
      <c r="D374" t="str">
        <f t="shared" si="28"/>
        <v>Weekday</v>
      </c>
      <c r="E374" s="2">
        <v>8275</v>
      </c>
      <c r="F374" s="2">
        <v>5.5599999430000002</v>
      </c>
      <c r="G374" s="2">
        <v>5.5599999430000002</v>
      </c>
      <c r="H374" s="2">
        <v>0</v>
      </c>
      <c r="I374" s="2">
        <v>0</v>
      </c>
      <c r="J374" s="2">
        <v>0</v>
      </c>
      <c r="K374" s="2">
        <v>5.5500001909999996</v>
      </c>
      <c r="L374" s="2">
        <v>0.01</v>
      </c>
      <c r="M374" s="2">
        <v>0</v>
      </c>
      <c r="N374" s="2">
        <v>0</v>
      </c>
      <c r="O374" s="2">
        <v>373</v>
      </c>
      <c r="P374" s="2">
        <v>1067</v>
      </c>
      <c r="Q374" s="2">
        <f t="shared" si="27"/>
        <v>373</v>
      </c>
      <c r="R374" s="2">
        <f t="shared" ref="R374:R436" si="30">SUM(M374:P374)</f>
        <v>1440</v>
      </c>
      <c r="S374" t="str">
        <f t="shared" si="29"/>
        <v>Fairly Active</v>
      </c>
      <c r="T374" s="2">
        <v>1962</v>
      </c>
    </row>
    <row r="375" spans="1:20" x14ac:dyDescent="0.25">
      <c r="A375" s="2">
        <v>2873212765</v>
      </c>
      <c r="B375" s="3">
        <v>42501</v>
      </c>
      <c r="C375" t="str">
        <f t="shared" si="26"/>
        <v>Wednesday</v>
      </c>
      <c r="D375" t="str">
        <f t="shared" si="28"/>
        <v>Weekday</v>
      </c>
      <c r="E375" s="2">
        <v>6440</v>
      </c>
      <c r="F375" s="2">
        <v>4.329999924</v>
      </c>
      <c r="G375" s="2">
        <v>4.329999924</v>
      </c>
      <c r="H375" s="2">
        <v>0</v>
      </c>
      <c r="I375" s="2">
        <v>0</v>
      </c>
      <c r="J375" s="2">
        <v>0</v>
      </c>
      <c r="K375" s="2">
        <v>4.3200001720000003</v>
      </c>
      <c r="L375" s="2">
        <v>0.01</v>
      </c>
      <c r="M375" s="2">
        <v>0</v>
      </c>
      <c r="N375" s="2">
        <v>0</v>
      </c>
      <c r="O375" s="2">
        <v>319</v>
      </c>
      <c r="P375" s="2">
        <v>1121</v>
      </c>
      <c r="Q375" s="2">
        <f t="shared" si="27"/>
        <v>319</v>
      </c>
      <c r="R375" s="2">
        <f t="shared" si="30"/>
        <v>1440</v>
      </c>
      <c r="S375" t="str">
        <f t="shared" si="29"/>
        <v>Lightly Active</v>
      </c>
      <c r="T375" s="2">
        <v>1826</v>
      </c>
    </row>
    <row r="376" spans="1:20" x14ac:dyDescent="0.25">
      <c r="A376" s="2">
        <v>2873212765</v>
      </c>
      <c r="B376" s="3">
        <v>42502</v>
      </c>
      <c r="C376" t="str">
        <f t="shared" ref="C376:C439" si="31">CHOOSE(WEEKDAY(B376), "Sunday", "Monday", "Tuesday", "Wednesday", "Thursday", "Friday", "Saturday")</f>
        <v>Thursday</v>
      </c>
      <c r="D376" t="str">
        <f t="shared" si="28"/>
        <v>Weekday</v>
      </c>
      <c r="E376" s="2">
        <v>7566</v>
      </c>
      <c r="F376" s="2">
        <v>5.1100001339999999</v>
      </c>
      <c r="G376" s="2">
        <v>5.1100001339999999</v>
      </c>
      <c r="H376" s="2">
        <v>0</v>
      </c>
      <c r="I376" s="2">
        <v>0</v>
      </c>
      <c r="J376" s="2">
        <v>0</v>
      </c>
      <c r="K376" s="2">
        <v>5.1100001339999999</v>
      </c>
      <c r="L376" s="2">
        <v>0</v>
      </c>
      <c r="M376" s="2">
        <v>0</v>
      </c>
      <c r="N376" s="2">
        <v>0</v>
      </c>
      <c r="O376" s="2">
        <v>268</v>
      </c>
      <c r="P376" s="2">
        <v>720</v>
      </c>
      <c r="Q376" s="2">
        <f t="shared" ref="Q376:Q439" si="32">SUM(M376:O376)</f>
        <v>268</v>
      </c>
      <c r="R376" s="2">
        <f t="shared" si="30"/>
        <v>988</v>
      </c>
      <c r="S376" t="str">
        <f t="shared" si="29"/>
        <v>Fairly Active</v>
      </c>
      <c r="T376" s="2">
        <v>1431</v>
      </c>
    </row>
    <row r="377" spans="1:20" x14ac:dyDescent="0.25">
      <c r="A377" s="2">
        <v>2891001357</v>
      </c>
      <c r="B377" s="3">
        <v>42462</v>
      </c>
      <c r="C377" t="str">
        <f t="shared" si="31"/>
        <v>Saturday</v>
      </c>
      <c r="D377" t="str">
        <f t="shared" si="28"/>
        <v>Weekend</v>
      </c>
      <c r="E377" s="2">
        <v>4126</v>
      </c>
      <c r="F377" s="2">
        <v>3.2200000289999999</v>
      </c>
      <c r="G377" s="2">
        <v>0</v>
      </c>
      <c r="H377" s="2">
        <v>3.2186880109999998</v>
      </c>
      <c r="I377" s="2">
        <v>0</v>
      </c>
      <c r="J377" s="2">
        <v>0</v>
      </c>
      <c r="K377" s="2">
        <v>3.2200000289999999</v>
      </c>
      <c r="L377" s="2">
        <v>0</v>
      </c>
      <c r="M377" s="2">
        <v>0</v>
      </c>
      <c r="N377" s="2">
        <v>0</v>
      </c>
      <c r="O377" s="2">
        <v>720</v>
      </c>
      <c r="P377" s="2">
        <v>720</v>
      </c>
      <c r="Q377" s="2">
        <f t="shared" si="32"/>
        <v>720</v>
      </c>
      <c r="R377" s="2">
        <f t="shared" si="30"/>
        <v>1440</v>
      </c>
      <c r="S377" t="str">
        <f t="shared" si="29"/>
        <v>Sedentary</v>
      </c>
      <c r="T377" s="2">
        <v>2881</v>
      </c>
    </row>
    <row r="378" spans="1:20" x14ac:dyDescent="0.25">
      <c r="A378" s="2">
        <v>2891001357</v>
      </c>
      <c r="B378" s="3">
        <v>42465</v>
      </c>
      <c r="C378" t="str">
        <f t="shared" si="31"/>
        <v>Tuesday</v>
      </c>
      <c r="D378" t="str">
        <f t="shared" si="28"/>
        <v>Weekday</v>
      </c>
      <c r="E378" s="2">
        <v>2063</v>
      </c>
      <c r="F378" s="2">
        <v>1.6100000139999999</v>
      </c>
      <c r="G378" s="2">
        <v>0</v>
      </c>
      <c r="H378" s="2">
        <v>1.6093440059999999</v>
      </c>
      <c r="I378" s="2">
        <v>0</v>
      </c>
      <c r="J378" s="2">
        <v>0</v>
      </c>
      <c r="K378" s="2">
        <v>1.6100000139999999</v>
      </c>
      <c r="L378" s="2">
        <v>0</v>
      </c>
      <c r="M378" s="2">
        <v>0</v>
      </c>
      <c r="N378" s="2">
        <v>0</v>
      </c>
      <c r="O378" s="2">
        <v>630</v>
      </c>
      <c r="P378" s="2">
        <v>99</v>
      </c>
      <c r="Q378" s="2">
        <f t="shared" si="32"/>
        <v>630</v>
      </c>
      <c r="R378" s="2">
        <f t="shared" si="30"/>
        <v>729</v>
      </c>
      <c r="S378" t="str">
        <f t="shared" si="29"/>
        <v>Sedentary</v>
      </c>
      <c r="T378" s="2">
        <v>1144</v>
      </c>
    </row>
    <row r="379" spans="1:20" x14ac:dyDescent="0.25">
      <c r="A379" s="2">
        <v>3372868164</v>
      </c>
      <c r="B379" s="3">
        <v>42461</v>
      </c>
      <c r="C379" t="str">
        <f t="shared" si="31"/>
        <v>Friday</v>
      </c>
      <c r="D379" t="str">
        <f t="shared" si="28"/>
        <v>Weekday</v>
      </c>
      <c r="E379" s="2">
        <v>5785</v>
      </c>
      <c r="F379" s="2">
        <v>3.9500000480000002</v>
      </c>
      <c r="G379" s="2">
        <v>3.9500000480000002</v>
      </c>
      <c r="H379" s="2">
        <v>0</v>
      </c>
      <c r="I379" s="2">
        <v>0</v>
      </c>
      <c r="J379" s="2">
        <v>0</v>
      </c>
      <c r="K379" s="2">
        <v>3.9100000860000002</v>
      </c>
      <c r="L379" s="2">
        <v>3.9999999000000001E-2</v>
      </c>
      <c r="M379" s="2">
        <v>0</v>
      </c>
      <c r="N379" s="2">
        <v>0</v>
      </c>
      <c r="O379" s="2">
        <v>311</v>
      </c>
      <c r="P379" s="2">
        <v>1129</v>
      </c>
      <c r="Q379" s="2">
        <f t="shared" si="32"/>
        <v>311</v>
      </c>
      <c r="R379" s="2">
        <f t="shared" si="30"/>
        <v>1440</v>
      </c>
      <c r="S379" t="str">
        <f t="shared" si="29"/>
        <v>Lightly Active</v>
      </c>
      <c r="T379" s="2">
        <v>1852</v>
      </c>
    </row>
    <row r="380" spans="1:20" x14ac:dyDescent="0.25">
      <c r="A380" s="2">
        <v>3372868164</v>
      </c>
      <c r="B380" s="3">
        <v>42462</v>
      </c>
      <c r="C380" t="str">
        <f t="shared" si="31"/>
        <v>Saturday</v>
      </c>
      <c r="D380" t="str">
        <f t="shared" si="28"/>
        <v>Weekend</v>
      </c>
      <c r="E380" s="2">
        <v>7625</v>
      </c>
      <c r="F380" s="2">
        <v>5.2300000190000002</v>
      </c>
      <c r="G380" s="2">
        <v>5.2300000190000002</v>
      </c>
      <c r="H380" s="2">
        <v>0</v>
      </c>
      <c r="I380" s="2">
        <v>1.6799999480000001</v>
      </c>
      <c r="J380" s="2">
        <v>3.9999999000000001E-2</v>
      </c>
      <c r="K380" s="2">
        <v>3.5</v>
      </c>
      <c r="L380" s="2">
        <v>0.01</v>
      </c>
      <c r="M380" s="2">
        <v>24</v>
      </c>
      <c r="N380" s="2">
        <v>1</v>
      </c>
      <c r="O380" s="2">
        <v>341</v>
      </c>
      <c r="P380" s="2">
        <v>1074</v>
      </c>
      <c r="Q380" s="2">
        <f t="shared" si="32"/>
        <v>366</v>
      </c>
      <c r="R380" s="2">
        <f t="shared" si="30"/>
        <v>1440</v>
      </c>
      <c r="S380" t="str">
        <f t="shared" si="29"/>
        <v>Fairly Active</v>
      </c>
      <c r="T380" s="2">
        <v>2069</v>
      </c>
    </row>
    <row r="381" spans="1:20" x14ac:dyDescent="0.25">
      <c r="A381" s="2">
        <v>3372868164</v>
      </c>
      <c r="B381" s="3">
        <v>42463</v>
      </c>
      <c r="C381" t="str">
        <f t="shared" si="31"/>
        <v>Sunday</v>
      </c>
      <c r="D381" t="str">
        <f t="shared" si="28"/>
        <v>Weekend</v>
      </c>
      <c r="E381" s="2">
        <v>4706</v>
      </c>
      <c r="F381" s="2">
        <v>3.210000038</v>
      </c>
      <c r="G381" s="2">
        <v>3.210000038</v>
      </c>
      <c r="H381" s="2">
        <v>0</v>
      </c>
      <c r="I381" s="2">
        <v>0</v>
      </c>
      <c r="J381" s="2">
        <v>0</v>
      </c>
      <c r="K381" s="2">
        <v>3.210000038</v>
      </c>
      <c r="L381" s="2">
        <v>0</v>
      </c>
      <c r="M381" s="2">
        <v>0</v>
      </c>
      <c r="N381" s="2">
        <v>0</v>
      </c>
      <c r="O381" s="2">
        <v>299</v>
      </c>
      <c r="P381" s="2">
        <v>1141</v>
      </c>
      <c r="Q381" s="2">
        <f t="shared" si="32"/>
        <v>299</v>
      </c>
      <c r="R381" s="2">
        <f t="shared" si="30"/>
        <v>1440</v>
      </c>
      <c r="S381" t="str">
        <f t="shared" si="29"/>
        <v>Sedentary</v>
      </c>
      <c r="T381" s="2">
        <v>1816</v>
      </c>
    </row>
    <row r="382" spans="1:20" x14ac:dyDescent="0.25">
      <c r="A382" s="2">
        <v>3372868164</v>
      </c>
      <c r="B382" s="3">
        <v>42464</v>
      </c>
      <c r="C382" t="str">
        <f t="shared" si="31"/>
        <v>Monday</v>
      </c>
      <c r="D382" t="str">
        <f t="shared" si="28"/>
        <v>Weekday</v>
      </c>
      <c r="E382" s="2">
        <v>5861</v>
      </c>
      <c r="F382" s="2">
        <v>4.0199999809999998</v>
      </c>
      <c r="G382" s="2">
        <v>4.0199999809999998</v>
      </c>
      <c r="H382" s="2">
        <v>0</v>
      </c>
      <c r="I382" s="2">
        <v>1.2999999520000001</v>
      </c>
      <c r="J382" s="2">
        <v>0.219999999</v>
      </c>
      <c r="K382" s="2">
        <v>2.4900000100000002</v>
      </c>
      <c r="L382" s="2">
        <v>0.01</v>
      </c>
      <c r="M382" s="2">
        <v>20</v>
      </c>
      <c r="N382" s="2">
        <v>7</v>
      </c>
      <c r="O382" s="2">
        <v>233</v>
      </c>
      <c r="P382" s="2">
        <v>1180</v>
      </c>
      <c r="Q382" s="2">
        <f t="shared" si="32"/>
        <v>260</v>
      </c>
      <c r="R382" s="2">
        <f t="shared" si="30"/>
        <v>1440</v>
      </c>
      <c r="S382" t="str">
        <f t="shared" si="29"/>
        <v>Lightly Active</v>
      </c>
      <c r="T382" s="2">
        <v>1878</v>
      </c>
    </row>
    <row r="383" spans="1:20" x14ac:dyDescent="0.25">
      <c r="A383" s="2">
        <v>3372868164</v>
      </c>
      <c r="B383" s="3">
        <v>42465</v>
      </c>
      <c r="C383" t="str">
        <f t="shared" si="31"/>
        <v>Tuesday</v>
      </c>
      <c r="D383" t="str">
        <f t="shared" si="28"/>
        <v>Weekday</v>
      </c>
      <c r="E383" s="2">
        <v>4460</v>
      </c>
      <c r="F383" s="2">
        <v>3.039999962</v>
      </c>
      <c r="G383" s="2">
        <v>3.039999962</v>
      </c>
      <c r="H383" s="2">
        <v>0</v>
      </c>
      <c r="I383" s="2">
        <v>0</v>
      </c>
      <c r="J383" s="2">
        <v>0</v>
      </c>
      <c r="K383" s="2">
        <v>3.0199999809999998</v>
      </c>
      <c r="L383" s="2">
        <v>2.9999998999999999E-2</v>
      </c>
      <c r="M383" s="2">
        <v>0</v>
      </c>
      <c r="N383" s="2">
        <v>0</v>
      </c>
      <c r="O383" s="2">
        <v>248</v>
      </c>
      <c r="P383" s="2">
        <v>1192</v>
      </c>
      <c r="Q383" s="2">
        <f t="shared" si="32"/>
        <v>248</v>
      </c>
      <c r="R383" s="2">
        <f t="shared" si="30"/>
        <v>1440</v>
      </c>
      <c r="S383" t="str">
        <f t="shared" si="29"/>
        <v>Sedentary</v>
      </c>
      <c r="T383" s="2">
        <v>1787</v>
      </c>
    </row>
    <row r="384" spans="1:20" x14ac:dyDescent="0.25">
      <c r="A384" s="2">
        <v>3372868164</v>
      </c>
      <c r="B384" s="3">
        <v>42466</v>
      </c>
      <c r="C384" t="str">
        <f t="shared" si="31"/>
        <v>Wednesday</v>
      </c>
      <c r="D384" t="str">
        <f t="shared" si="28"/>
        <v>Weekday</v>
      </c>
      <c r="E384" s="2">
        <v>6406</v>
      </c>
      <c r="F384" s="2">
        <v>4.3899998660000001</v>
      </c>
      <c r="G384" s="2">
        <v>4.3899998660000001</v>
      </c>
      <c r="H384" s="2">
        <v>0</v>
      </c>
      <c r="I384" s="2">
        <v>0.77999997099999996</v>
      </c>
      <c r="J384" s="2">
        <v>9.0000003999999995E-2</v>
      </c>
      <c r="K384" s="2">
        <v>3.5199999809999998</v>
      </c>
      <c r="L384" s="2">
        <v>0.01</v>
      </c>
      <c r="M384" s="2">
        <v>17</v>
      </c>
      <c r="N384" s="2">
        <v>4</v>
      </c>
      <c r="O384" s="2">
        <v>325</v>
      </c>
      <c r="P384" s="2">
        <v>1094</v>
      </c>
      <c r="Q384" s="2">
        <f t="shared" si="32"/>
        <v>346</v>
      </c>
      <c r="R384" s="2">
        <f t="shared" si="30"/>
        <v>1440</v>
      </c>
      <c r="S384" t="str">
        <f t="shared" si="29"/>
        <v>Lightly Active</v>
      </c>
      <c r="T384" s="2">
        <v>2010</v>
      </c>
    </row>
    <row r="385" spans="1:20" x14ac:dyDescent="0.25">
      <c r="A385" s="2">
        <v>3372868164</v>
      </c>
      <c r="B385" s="3">
        <v>42467</v>
      </c>
      <c r="C385" t="str">
        <f t="shared" si="31"/>
        <v>Thursday</v>
      </c>
      <c r="D385" t="str">
        <f t="shared" si="28"/>
        <v>Weekday</v>
      </c>
      <c r="E385" s="2">
        <v>7392</v>
      </c>
      <c r="F385" s="2">
        <v>5.0999999049999998</v>
      </c>
      <c r="G385" s="2">
        <v>5.0999999049999998</v>
      </c>
      <c r="H385" s="2">
        <v>0</v>
      </c>
      <c r="I385" s="2">
        <v>0.87000000499999997</v>
      </c>
      <c r="J385" s="2">
        <v>0.15999999600000001</v>
      </c>
      <c r="K385" s="2">
        <v>4.0500001909999996</v>
      </c>
      <c r="L385" s="2">
        <v>0.02</v>
      </c>
      <c r="M385" s="2">
        <v>14</v>
      </c>
      <c r="N385" s="2">
        <v>9</v>
      </c>
      <c r="O385" s="2">
        <v>332</v>
      </c>
      <c r="P385" s="2">
        <v>1085</v>
      </c>
      <c r="Q385" s="2">
        <f t="shared" si="32"/>
        <v>355</v>
      </c>
      <c r="R385" s="2">
        <f t="shared" si="30"/>
        <v>1440</v>
      </c>
      <c r="S385" t="str">
        <f t="shared" si="29"/>
        <v>Lightly Active</v>
      </c>
      <c r="T385" s="2">
        <v>2038</v>
      </c>
    </row>
    <row r="386" spans="1:20" x14ac:dyDescent="0.25">
      <c r="A386" s="2">
        <v>3372868164</v>
      </c>
      <c r="B386" s="3">
        <v>42468</v>
      </c>
      <c r="C386" t="str">
        <f t="shared" si="31"/>
        <v>Friday</v>
      </c>
      <c r="D386" t="str">
        <f t="shared" si="28"/>
        <v>Weekday</v>
      </c>
      <c r="E386" s="2">
        <v>5551</v>
      </c>
      <c r="F386" s="2">
        <v>3.789999962</v>
      </c>
      <c r="G386" s="2">
        <v>3.789999962</v>
      </c>
      <c r="H386" s="2">
        <v>0</v>
      </c>
      <c r="I386" s="2">
        <v>0</v>
      </c>
      <c r="J386" s="2">
        <v>0</v>
      </c>
      <c r="K386" s="2">
        <v>3.7699999809999998</v>
      </c>
      <c r="L386" s="2">
        <v>0.01</v>
      </c>
      <c r="M386" s="2">
        <v>0</v>
      </c>
      <c r="N386" s="2">
        <v>0</v>
      </c>
      <c r="O386" s="2">
        <v>282</v>
      </c>
      <c r="P386" s="2">
        <v>1158</v>
      </c>
      <c r="Q386" s="2">
        <f t="shared" si="32"/>
        <v>282</v>
      </c>
      <c r="R386" s="2">
        <f t="shared" si="30"/>
        <v>1440</v>
      </c>
      <c r="S386" t="str">
        <f t="shared" si="29"/>
        <v>Lightly Active</v>
      </c>
      <c r="T386" s="2">
        <v>1815</v>
      </c>
    </row>
    <row r="387" spans="1:20" x14ac:dyDescent="0.25">
      <c r="A387" s="2">
        <v>3372868164</v>
      </c>
      <c r="B387" s="3">
        <v>42469</v>
      </c>
      <c r="C387" t="str">
        <f t="shared" si="31"/>
        <v>Saturday</v>
      </c>
      <c r="D387" t="str">
        <f t="shared" ref="D387:D450" si="33">IF(OR(C387="Saturday", C387="Sunday"), "Weekend", "Weekday")</f>
        <v>Weekend</v>
      </c>
      <c r="E387" s="2">
        <v>8827</v>
      </c>
      <c r="F387" s="2">
        <v>6.25</v>
      </c>
      <c r="G387" s="2">
        <v>6.25</v>
      </c>
      <c r="H387" s="2">
        <v>0</v>
      </c>
      <c r="I387" s="2">
        <v>1.769999981</v>
      </c>
      <c r="J387" s="2">
        <v>0.47999998900000002</v>
      </c>
      <c r="K387" s="2">
        <v>4</v>
      </c>
      <c r="L387" s="2">
        <v>0.01</v>
      </c>
      <c r="M387" s="2">
        <v>21</v>
      </c>
      <c r="N387" s="2">
        <v>10</v>
      </c>
      <c r="O387" s="2">
        <v>346</v>
      </c>
      <c r="P387" s="2">
        <v>1063</v>
      </c>
      <c r="Q387" s="2">
        <f t="shared" si="32"/>
        <v>377</v>
      </c>
      <c r="R387" s="2">
        <f t="shared" si="30"/>
        <v>1440</v>
      </c>
      <c r="S387" t="str">
        <f t="shared" ref="S387:S450" si="34">IF(E387&lt;5000, "Sedentary", IF(E387&lt;7500, "Lightly Active", IF(E387&lt;10000, "Fairly Active", "Highly Active")))</f>
        <v>Fairly Active</v>
      </c>
      <c r="T387" s="2">
        <v>2062</v>
      </c>
    </row>
    <row r="388" spans="1:20" x14ac:dyDescent="0.25">
      <c r="A388" s="2">
        <v>3372868164</v>
      </c>
      <c r="B388" s="3">
        <v>42470</v>
      </c>
      <c r="C388" t="str">
        <f t="shared" si="31"/>
        <v>Sunday</v>
      </c>
      <c r="D388" t="str">
        <f t="shared" si="33"/>
        <v>Weekend</v>
      </c>
      <c r="E388" s="2">
        <v>4662</v>
      </c>
      <c r="F388" s="2">
        <v>3.1800000669999999</v>
      </c>
      <c r="G388" s="2">
        <v>3.1800000669999999</v>
      </c>
      <c r="H388" s="2">
        <v>0</v>
      </c>
      <c r="I388" s="2">
        <v>1.039999962</v>
      </c>
      <c r="J388" s="2">
        <v>0.15000000599999999</v>
      </c>
      <c r="K388" s="2">
        <v>1.9900000099999999</v>
      </c>
      <c r="L388" s="2">
        <v>0</v>
      </c>
      <c r="M388" s="2">
        <v>22</v>
      </c>
      <c r="N388" s="2">
        <v>4</v>
      </c>
      <c r="O388" s="2">
        <v>152</v>
      </c>
      <c r="P388" s="2">
        <v>735</v>
      </c>
      <c r="Q388" s="2">
        <f t="shared" si="32"/>
        <v>178</v>
      </c>
      <c r="R388" s="2">
        <f t="shared" si="30"/>
        <v>913</v>
      </c>
      <c r="S388" t="str">
        <f t="shared" si="34"/>
        <v>Sedentary</v>
      </c>
      <c r="T388" s="2">
        <v>1276</v>
      </c>
    </row>
    <row r="389" spans="1:20" x14ac:dyDescent="0.25">
      <c r="A389" s="2">
        <v>3372868164</v>
      </c>
      <c r="B389" s="3">
        <v>42472</v>
      </c>
      <c r="C389" t="str">
        <f t="shared" si="31"/>
        <v>Tuesday</v>
      </c>
      <c r="D389" t="str">
        <f t="shared" si="33"/>
        <v>Weekday</v>
      </c>
      <c r="E389" s="2">
        <v>4747</v>
      </c>
      <c r="F389" s="2">
        <v>3.2400000100000002</v>
      </c>
      <c r="G389" s="2">
        <v>3.2400000100000002</v>
      </c>
      <c r="H389" s="2">
        <v>0</v>
      </c>
      <c r="I389" s="2">
        <v>0</v>
      </c>
      <c r="J389" s="2">
        <v>0</v>
      </c>
      <c r="K389" s="2">
        <v>3.2300000190000002</v>
      </c>
      <c r="L389" s="2">
        <v>0.01</v>
      </c>
      <c r="M389" s="2">
        <v>0</v>
      </c>
      <c r="N389" s="2">
        <v>0</v>
      </c>
      <c r="O389" s="2">
        <v>280</v>
      </c>
      <c r="P389" s="2">
        <v>1160</v>
      </c>
      <c r="Q389" s="2">
        <f t="shared" si="32"/>
        <v>280</v>
      </c>
      <c r="R389" s="2">
        <f t="shared" si="30"/>
        <v>1440</v>
      </c>
      <c r="S389" t="str">
        <f t="shared" si="34"/>
        <v>Sedentary</v>
      </c>
      <c r="T389" s="2">
        <v>1788</v>
      </c>
    </row>
    <row r="390" spans="1:20" x14ac:dyDescent="0.25">
      <c r="A390" s="2">
        <v>3372868164</v>
      </c>
      <c r="B390" s="3">
        <v>42473</v>
      </c>
      <c r="C390" t="str">
        <f t="shared" si="31"/>
        <v>Wednesday</v>
      </c>
      <c r="D390" t="str">
        <f t="shared" si="33"/>
        <v>Weekday</v>
      </c>
      <c r="E390" s="2">
        <v>9715</v>
      </c>
      <c r="F390" s="2">
        <v>6.6300001139999996</v>
      </c>
      <c r="G390" s="2">
        <v>6.6300001139999996</v>
      </c>
      <c r="H390" s="2">
        <v>0</v>
      </c>
      <c r="I390" s="2">
        <v>0.99000001000000004</v>
      </c>
      <c r="J390" s="2">
        <v>0.34000000400000002</v>
      </c>
      <c r="K390" s="2">
        <v>5.2699999809999998</v>
      </c>
      <c r="L390" s="2">
        <v>0.02</v>
      </c>
      <c r="M390" s="2">
        <v>16</v>
      </c>
      <c r="N390" s="2">
        <v>8</v>
      </c>
      <c r="O390" s="2">
        <v>371</v>
      </c>
      <c r="P390" s="2">
        <v>1045</v>
      </c>
      <c r="Q390" s="2">
        <f t="shared" si="32"/>
        <v>395</v>
      </c>
      <c r="R390" s="2">
        <f t="shared" si="30"/>
        <v>1440</v>
      </c>
      <c r="S390" t="str">
        <f t="shared" si="34"/>
        <v>Fairly Active</v>
      </c>
      <c r="T390" s="2">
        <v>2093</v>
      </c>
    </row>
    <row r="391" spans="1:20" x14ac:dyDescent="0.25">
      <c r="A391" s="2">
        <v>3372868164</v>
      </c>
      <c r="B391" s="3">
        <v>42474</v>
      </c>
      <c r="C391" t="str">
        <f t="shared" si="31"/>
        <v>Thursday</v>
      </c>
      <c r="D391" t="str">
        <f t="shared" si="33"/>
        <v>Weekday</v>
      </c>
      <c r="E391" s="2">
        <v>8844</v>
      </c>
      <c r="F391" s="2">
        <v>6.0300002099999999</v>
      </c>
      <c r="G391" s="2">
        <v>6.0300002099999999</v>
      </c>
      <c r="H391" s="2">
        <v>0</v>
      </c>
      <c r="I391" s="2">
        <v>0.34000000400000002</v>
      </c>
      <c r="J391" s="2">
        <v>1.0299999710000001</v>
      </c>
      <c r="K391" s="2">
        <v>4.6500000950000002</v>
      </c>
      <c r="L391" s="2">
        <v>0.01</v>
      </c>
      <c r="M391" s="2">
        <v>6</v>
      </c>
      <c r="N391" s="2">
        <v>25</v>
      </c>
      <c r="O391" s="2">
        <v>370</v>
      </c>
      <c r="P391" s="2">
        <v>1039</v>
      </c>
      <c r="Q391" s="2">
        <f t="shared" si="32"/>
        <v>401</v>
      </c>
      <c r="R391" s="2">
        <f t="shared" si="30"/>
        <v>1440</v>
      </c>
      <c r="S391" t="str">
        <f t="shared" si="34"/>
        <v>Fairly Active</v>
      </c>
      <c r="T391" s="2">
        <v>2065</v>
      </c>
    </row>
    <row r="392" spans="1:20" x14ac:dyDescent="0.25">
      <c r="A392" s="2">
        <v>3372868164</v>
      </c>
      <c r="B392" s="3">
        <v>42475</v>
      </c>
      <c r="C392" t="str">
        <f t="shared" si="31"/>
        <v>Friday</v>
      </c>
      <c r="D392" t="str">
        <f t="shared" si="33"/>
        <v>Weekday</v>
      </c>
      <c r="E392" s="2">
        <v>7451</v>
      </c>
      <c r="F392" s="2">
        <v>5.079999924</v>
      </c>
      <c r="G392" s="2">
        <v>5.079999924</v>
      </c>
      <c r="H392" s="2">
        <v>0</v>
      </c>
      <c r="I392" s="2">
        <v>0</v>
      </c>
      <c r="J392" s="2">
        <v>0</v>
      </c>
      <c r="K392" s="2">
        <v>5.0599999430000002</v>
      </c>
      <c r="L392" s="2">
        <v>0.02</v>
      </c>
      <c r="M392" s="2">
        <v>0</v>
      </c>
      <c r="N392" s="2">
        <v>0</v>
      </c>
      <c r="O392" s="2">
        <v>335</v>
      </c>
      <c r="P392" s="2">
        <v>1105</v>
      </c>
      <c r="Q392" s="2">
        <f t="shared" si="32"/>
        <v>335</v>
      </c>
      <c r="R392" s="2">
        <f t="shared" si="30"/>
        <v>1440</v>
      </c>
      <c r="S392" t="str">
        <f t="shared" si="34"/>
        <v>Lightly Active</v>
      </c>
      <c r="T392" s="2">
        <v>1908</v>
      </c>
    </row>
    <row r="393" spans="1:20" x14ac:dyDescent="0.25">
      <c r="A393" s="2">
        <v>3372868164</v>
      </c>
      <c r="B393" s="3">
        <v>42476</v>
      </c>
      <c r="C393" t="str">
        <f t="shared" si="31"/>
        <v>Saturday</v>
      </c>
      <c r="D393" t="str">
        <f t="shared" si="33"/>
        <v>Weekend</v>
      </c>
      <c r="E393" s="2">
        <v>6905</v>
      </c>
      <c r="F393" s="2">
        <v>4.7300000190000002</v>
      </c>
      <c r="G393" s="2">
        <v>4.7300000190000002</v>
      </c>
      <c r="H393" s="2">
        <v>0</v>
      </c>
      <c r="I393" s="2">
        <v>0</v>
      </c>
      <c r="J393" s="2">
        <v>0</v>
      </c>
      <c r="K393" s="2">
        <v>4.6999998090000004</v>
      </c>
      <c r="L393" s="2">
        <v>2.9999998999999999E-2</v>
      </c>
      <c r="M393" s="2">
        <v>0</v>
      </c>
      <c r="N393" s="2">
        <v>0</v>
      </c>
      <c r="O393" s="2">
        <v>356</v>
      </c>
      <c r="P393" s="2">
        <v>1084</v>
      </c>
      <c r="Q393" s="2">
        <f t="shared" si="32"/>
        <v>356</v>
      </c>
      <c r="R393" s="2">
        <f t="shared" si="30"/>
        <v>1440</v>
      </c>
      <c r="S393" t="str">
        <f t="shared" si="34"/>
        <v>Lightly Active</v>
      </c>
      <c r="T393" s="2">
        <v>1908</v>
      </c>
    </row>
    <row r="394" spans="1:20" x14ac:dyDescent="0.25">
      <c r="A394" s="2">
        <v>3372868164</v>
      </c>
      <c r="B394" s="3">
        <v>42477</v>
      </c>
      <c r="C394" t="str">
        <f t="shared" si="31"/>
        <v>Sunday</v>
      </c>
      <c r="D394" t="str">
        <f t="shared" si="33"/>
        <v>Weekend</v>
      </c>
      <c r="E394" s="2">
        <v>8199</v>
      </c>
      <c r="F394" s="2">
        <v>5.8800001139999996</v>
      </c>
      <c r="G394" s="2">
        <v>5.8800001139999996</v>
      </c>
      <c r="H394" s="2">
        <v>0</v>
      </c>
      <c r="I394" s="2">
        <v>1.4099999670000001</v>
      </c>
      <c r="J394" s="2">
        <v>0.10000000100000001</v>
      </c>
      <c r="K394" s="2">
        <v>4.3600001339999999</v>
      </c>
      <c r="L394" s="2">
        <v>0.01</v>
      </c>
      <c r="M394" s="2">
        <v>11</v>
      </c>
      <c r="N394" s="2">
        <v>2</v>
      </c>
      <c r="O394" s="2">
        <v>322</v>
      </c>
      <c r="P394" s="2">
        <v>1105</v>
      </c>
      <c r="Q394" s="2">
        <f t="shared" si="32"/>
        <v>335</v>
      </c>
      <c r="R394" s="2">
        <f t="shared" si="30"/>
        <v>1440</v>
      </c>
      <c r="S394" t="str">
        <f t="shared" si="34"/>
        <v>Fairly Active</v>
      </c>
      <c r="T394" s="2">
        <v>1964</v>
      </c>
    </row>
    <row r="395" spans="1:20" x14ac:dyDescent="0.25">
      <c r="A395" s="2">
        <v>3372868164</v>
      </c>
      <c r="B395" s="3">
        <v>42478</v>
      </c>
      <c r="C395" t="str">
        <f t="shared" si="31"/>
        <v>Monday</v>
      </c>
      <c r="D395" t="str">
        <f t="shared" si="33"/>
        <v>Weekday</v>
      </c>
      <c r="E395" s="2">
        <v>6798</v>
      </c>
      <c r="F395" s="2">
        <v>4.6399998660000001</v>
      </c>
      <c r="G395" s="2">
        <v>4.6399998660000001</v>
      </c>
      <c r="H395" s="2">
        <v>0</v>
      </c>
      <c r="I395" s="2">
        <v>1.0800000430000001</v>
      </c>
      <c r="J395" s="2">
        <v>0.20000000300000001</v>
      </c>
      <c r="K395" s="2">
        <v>3.3499999049999998</v>
      </c>
      <c r="L395" s="2">
        <v>0</v>
      </c>
      <c r="M395" s="2">
        <v>20</v>
      </c>
      <c r="N395" s="2">
        <v>7</v>
      </c>
      <c r="O395" s="2">
        <v>343</v>
      </c>
      <c r="P395" s="2">
        <v>1070</v>
      </c>
      <c r="Q395" s="2">
        <f t="shared" si="32"/>
        <v>370</v>
      </c>
      <c r="R395" s="2">
        <f t="shared" si="30"/>
        <v>1440</v>
      </c>
      <c r="S395" t="str">
        <f t="shared" si="34"/>
        <v>Lightly Active</v>
      </c>
      <c r="T395" s="2">
        <v>2014</v>
      </c>
    </row>
    <row r="396" spans="1:20" x14ac:dyDescent="0.25">
      <c r="A396" s="2">
        <v>3372868164</v>
      </c>
      <c r="B396" s="3">
        <v>42479</v>
      </c>
      <c r="C396" t="str">
        <f t="shared" si="31"/>
        <v>Tuesday</v>
      </c>
      <c r="D396" t="str">
        <f t="shared" si="33"/>
        <v>Weekday</v>
      </c>
      <c r="E396" s="2">
        <v>7711</v>
      </c>
      <c r="F396" s="2">
        <v>5.2600002290000001</v>
      </c>
      <c r="G396" s="2">
        <v>5.2600002290000001</v>
      </c>
      <c r="H396" s="2">
        <v>0</v>
      </c>
      <c r="I396" s="2">
        <v>0</v>
      </c>
      <c r="J396" s="2">
        <v>0</v>
      </c>
      <c r="K396" s="2">
        <v>5.2399997709999999</v>
      </c>
      <c r="L396" s="2">
        <v>0.02</v>
      </c>
      <c r="M396" s="2">
        <v>0</v>
      </c>
      <c r="N396" s="2">
        <v>0</v>
      </c>
      <c r="O396" s="2">
        <v>376</v>
      </c>
      <c r="P396" s="2">
        <v>1064</v>
      </c>
      <c r="Q396" s="2">
        <f t="shared" si="32"/>
        <v>376</v>
      </c>
      <c r="R396" s="2">
        <f t="shared" si="30"/>
        <v>1440</v>
      </c>
      <c r="S396" t="str">
        <f t="shared" si="34"/>
        <v>Fairly Active</v>
      </c>
      <c r="T396" s="2">
        <v>1985</v>
      </c>
    </row>
    <row r="397" spans="1:20" x14ac:dyDescent="0.25">
      <c r="A397" s="2">
        <v>3372868164</v>
      </c>
      <c r="B397" s="3">
        <v>42480</v>
      </c>
      <c r="C397" t="str">
        <f t="shared" si="31"/>
        <v>Wednesday</v>
      </c>
      <c r="D397" t="str">
        <f t="shared" si="33"/>
        <v>Weekday</v>
      </c>
      <c r="E397" s="2">
        <v>4880</v>
      </c>
      <c r="F397" s="2">
        <v>3.329999924</v>
      </c>
      <c r="G397" s="2">
        <v>3.329999924</v>
      </c>
      <c r="H397" s="2">
        <v>0</v>
      </c>
      <c r="I397" s="2">
        <v>0.83999997400000004</v>
      </c>
      <c r="J397" s="2">
        <v>9.0000003999999995E-2</v>
      </c>
      <c r="K397" s="2">
        <v>2.380000114</v>
      </c>
      <c r="L397" s="2">
        <v>0.02</v>
      </c>
      <c r="M397" s="2">
        <v>15</v>
      </c>
      <c r="N397" s="2">
        <v>3</v>
      </c>
      <c r="O397" s="2">
        <v>274</v>
      </c>
      <c r="P397" s="2">
        <v>1148</v>
      </c>
      <c r="Q397" s="2">
        <f t="shared" si="32"/>
        <v>292</v>
      </c>
      <c r="R397" s="2">
        <f t="shared" si="30"/>
        <v>1440</v>
      </c>
      <c r="S397" t="str">
        <f t="shared" si="34"/>
        <v>Sedentary</v>
      </c>
      <c r="T397" s="2">
        <v>1867</v>
      </c>
    </row>
    <row r="398" spans="1:20" x14ac:dyDescent="0.25">
      <c r="A398" s="2">
        <v>3372868164</v>
      </c>
      <c r="B398" s="3">
        <v>42481</v>
      </c>
      <c r="C398" t="str">
        <f t="shared" si="31"/>
        <v>Thursday</v>
      </c>
      <c r="D398" t="str">
        <f t="shared" si="33"/>
        <v>Weekday</v>
      </c>
      <c r="E398" s="2">
        <v>8857</v>
      </c>
      <c r="F398" s="2">
        <v>6.0700001720000003</v>
      </c>
      <c r="G398" s="2">
        <v>6.0700001720000003</v>
      </c>
      <c r="H398" s="2">
        <v>0</v>
      </c>
      <c r="I398" s="2">
        <v>1.1499999759999999</v>
      </c>
      <c r="J398" s="2">
        <v>0.25999999000000001</v>
      </c>
      <c r="K398" s="2">
        <v>4.6399998660000001</v>
      </c>
      <c r="L398" s="2">
        <v>0.01</v>
      </c>
      <c r="M398" s="2">
        <v>18</v>
      </c>
      <c r="N398" s="2">
        <v>9</v>
      </c>
      <c r="O398" s="2">
        <v>376</v>
      </c>
      <c r="P398" s="2">
        <v>1037</v>
      </c>
      <c r="Q398" s="2">
        <f t="shared" si="32"/>
        <v>403</v>
      </c>
      <c r="R398" s="2">
        <f t="shared" si="30"/>
        <v>1440</v>
      </c>
      <c r="S398" t="str">
        <f t="shared" si="34"/>
        <v>Fairly Active</v>
      </c>
      <c r="T398" s="2">
        <v>2124</v>
      </c>
    </row>
    <row r="399" spans="1:20" x14ac:dyDescent="0.25">
      <c r="A399" s="2">
        <v>3372868164</v>
      </c>
      <c r="B399" s="3">
        <v>42482</v>
      </c>
      <c r="C399" t="str">
        <f t="shared" si="31"/>
        <v>Friday</v>
      </c>
      <c r="D399" t="str">
        <f t="shared" si="33"/>
        <v>Weekday</v>
      </c>
      <c r="E399" s="2">
        <v>3843</v>
      </c>
      <c r="F399" s="2">
        <v>2.619999886</v>
      </c>
      <c r="G399" s="2">
        <v>2.619999886</v>
      </c>
      <c r="H399" s="2">
        <v>0</v>
      </c>
      <c r="I399" s="2">
        <v>0</v>
      </c>
      <c r="J399" s="2">
        <v>0</v>
      </c>
      <c r="K399" s="2">
        <v>2.6099998950000001</v>
      </c>
      <c r="L399" s="2">
        <v>0.01</v>
      </c>
      <c r="M399" s="2">
        <v>0</v>
      </c>
      <c r="N399" s="2">
        <v>0</v>
      </c>
      <c r="O399" s="2">
        <v>206</v>
      </c>
      <c r="P399" s="2">
        <v>1234</v>
      </c>
      <c r="Q399" s="2">
        <f t="shared" si="32"/>
        <v>206</v>
      </c>
      <c r="R399" s="2">
        <f t="shared" si="30"/>
        <v>1440</v>
      </c>
      <c r="S399" t="str">
        <f t="shared" si="34"/>
        <v>Sedentary</v>
      </c>
      <c r="T399" s="2">
        <v>1669</v>
      </c>
    </row>
    <row r="400" spans="1:20" x14ac:dyDescent="0.25">
      <c r="A400" s="2">
        <v>3372868164</v>
      </c>
      <c r="B400" s="3">
        <v>42483</v>
      </c>
      <c r="C400" t="str">
        <f t="shared" si="31"/>
        <v>Saturday</v>
      </c>
      <c r="D400" t="str">
        <f t="shared" si="33"/>
        <v>Weekend</v>
      </c>
      <c r="E400" s="2">
        <v>7396</v>
      </c>
      <c r="F400" s="2">
        <v>5.0700001720000003</v>
      </c>
      <c r="G400" s="2">
        <v>5.0700001720000003</v>
      </c>
      <c r="H400" s="2">
        <v>0</v>
      </c>
      <c r="I400" s="2">
        <v>1.3999999759999999</v>
      </c>
      <c r="J400" s="2">
        <v>7.9999998000000003E-2</v>
      </c>
      <c r="K400" s="2">
        <v>3.579999924</v>
      </c>
      <c r="L400" s="2">
        <v>0</v>
      </c>
      <c r="M400" s="2">
        <v>20</v>
      </c>
      <c r="N400" s="2">
        <v>2</v>
      </c>
      <c r="O400" s="2">
        <v>303</v>
      </c>
      <c r="P400" s="2">
        <v>1115</v>
      </c>
      <c r="Q400" s="2">
        <f t="shared" si="32"/>
        <v>325</v>
      </c>
      <c r="R400" s="2">
        <f t="shared" si="30"/>
        <v>1440</v>
      </c>
      <c r="S400" t="str">
        <f t="shared" si="34"/>
        <v>Lightly Active</v>
      </c>
      <c r="T400" s="2">
        <v>1995</v>
      </c>
    </row>
    <row r="401" spans="1:20" x14ac:dyDescent="0.25">
      <c r="A401" s="2">
        <v>3372868164</v>
      </c>
      <c r="B401" s="3">
        <v>42484</v>
      </c>
      <c r="C401" t="str">
        <f t="shared" si="31"/>
        <v>Sunday</v>
      </c>
      <c r="D401" t="str">
        <f t="shared" si="33"/>
        <v>Weekend</v>
      </c>
      <c r="E401" s="2">
        <v>6731</v>
      </c>
      <c r="F401" s="2">
        <v>4.5900001530000001</v>
      </c>
      <c r="G401" s="2">
        <v>4.5900001530000001</v>
      </c>
      <c r="H401" s="2">
        <v>0</v>
      </c>
      <c r="I401" s="2">
        <v>0.88999998599999997</v>
      </c>
      <c r="J401" s="2">
        <v>0.189999998</v>
      </c>
      <c r="K401" s="2">
        <v>3.4900000100000002</v>
      </c>
      <c r="L401" s="2">
        <v>0.02</v>
      </c>
      <c r="M401" s="2">
        <v>14</v>
      </c>
      <c r="N401" s="2">
        <v>7</v>
      </c>
      <c r="O401" s="2">
        <v>292</v>
      </c>
      <c r="P401" s="2">
        <v>1127</v>
      </c>
      <c r="Q401" s="2">
        <f t="shared" si="32"/>
        <v>313</v>
      </c>
      <c r="R401" s="2">
        <f t="shared" si="30"/>
        <v>1440</v>
      </c>
      <c r="S401" t="str">
        <f t="shared" si="34"/>
        <v>Lightly Active</v>
      </c>
      <c r="T401" s="2">
        <v>1921</v>
      </c>
    </row>
    <row r="402" spans="1:20" x14ac:dyDescent="0.25">
      <c r="A402" s="2">
        <v>3372868164</v>
      </c>
      <c r="B402" s="3">
        <v>42485</v>
      </c>
      <c r="C402" t="str">
        <f t="shared" si="31"/>
        <v>Monday</v>
      </c>
      <c r="D402" t="str">
        <f t="shared" si="33"/>
        <v>Weekday</v>
      </c>
      <c r="E402" s="2">
        <v>5995</v>
      </c>
      <c r="F402" s="2">
        <v>4.0900001530000001</v>
      </c>
      <c r="G402" s="2">
        <v>4.0900001530000001</v>
      </c>
      <c r="H402" s="2">
        <v>0</v>
      </c>
      <c r="I402" s="2">
        <v>0</v>
      </c>
      <c r="J402" s="2">
        <v>0</v>
      </c>
      <c r="K402" s="2">
        <v>4.0900001530000001</v>
      </c>
      <c r="L402" s="2">
        <v>0</v>
      </c>
      <c r="M402" s="2">
        <v>0</v>
      </c>
      <c r="N402" s="2">
        <v>0</v>
      </c>
      <c r="O402" s="2">
        <v>416</v>
      </c>
      <c r="P402" s="2">
        <v>1024</v>
      </c>
      <c r="Q402" s="2">
        <f t="shared" si="32"/>
        <v>416</v>
      </c>
      <c r="R402" s="2">
        <f t="shared" si="30"/>
        <v>1440</v>
      </c>
      <c r="S402" t="str">
        <f t="shared" si="34"/>
        <v>Lightly Active</v>
      </c>
      <c r="T402" s="2">
        <v>2010</v>
      </c>
    </row>
    <row r="403" spans="1:20" x14ac:dyDescent="0.25">
      <c r="A403" s="2">
        <v>3372868164</v>
      </c>
      <c r="B403" s="3">
        <v>42486</v>
      </c>
      <c r="C403" t="str">
        <f t="shared" si="31"/>
        <v>Tuesday</v>
      </c>
      <c r="D403" t="str">
        <f t="shared" si="33"/>
        <v>Weekday</v>
      </c>
      <c r="E403" s="2">
        <v>8283</v>
      </c>
      <c r="F403" s="2">
        <v>5.7899999619999996</v>
      </c>
      <c r="G403" s="2">
        <v>5.7899999619999996</v>
      </c>
      <c r="H403" s="2">
        <v>0</v>
      </c>
      <c r="I403" s="2">
        <v>1.8500000240000001</v>
      </c>
      <c r="J403" s="2">
        <v>5.0000001000000002E-2</v>
      </c>
      <c r="K403" s="2">
        <v>3.869999886</v>
      </c>
      <c r="L403" s="2">
        <v>0.01</v>
      </c>
      <c r="M403" s="2">
        <v>22</v>
      </c>
      <c r="N403" s="2">
        <v>2</v>
      </c>
      <c r="O403" s="2">
        <v>333</v>
      </c>
      <c r="P403" s="2">
        <v>1083</v>
      </c>
      <c r="Q403" s="2">
        <f t="shared" si="32"/>
        <v>357</v>
      </c>
      <c r="R403" s="2">
        <f t="shared" si="30"/>
        <v>1440</v>
      </c>
      <c r="S403" t="str">
        <f t="shared" si="34"/>
        <v>Fairly Active</v>
      </c>
      <c r="T403" s="2">
        <v>2057</v>
      </c>
    </row>
    <row r="404" spans="1:20" x14ac:dyDescent="0.25">
      <c r="A404" s="2">
        <v>3372868164</v>
      </c>
      <c r="B404" s="3">
        <v>42487</v>
      </c>
      <c r="C404" t="str">
        <f t="shared" si="31"/>
        <v>Wednesday</v>
      </c>
      <c r="D404" t="str">
        <f t="shared" si="33"/>
        <v>Weekday</v>
      </c>
      <c r="E404" s="2">
        <v>7904</v>
      </c>
      <c r="F404" s="2">
        <v>5.420000076</v>
      </c>
      <c r="G404" s="2">
        <v>5.420000076</v>
      </c>
      <c r="H404" s="2">
        <v>0</v>
      </c>
      <c r="I404" s="2">
        <v>1.5800000430000001</v>
      </c>
      <c r="J404" s="2">
        <v>0.62999999500000003</v>
      </c>
      <c r="K404" s="2">
        <v>3.1900000569999998</v>
      </c>
      <c r="L404" s="2">
        <v>0.01</v>
      </c>
      <c r="M404" s="2">
        <v>24</v>
      </c>
      <c r="N404" s="2">
        <v>13</v>
      </c>
      <c r="O404" s="2">
        <v>346</v>
      </c>
      <c r="P404" s="2">
        <v>1057</v>
      </c>
      <c r="Q404" s="2">
        <f t="shared" si="32"/>
        <v>383</v>
      </c>
      <c r="R404" s="2">
        <f t="shared" si="30"/>
        <v>1440</v>
      </c>
      <c r="S404" t="str">
        <f t="shared" si="34"/>
        <v>Fairly Active</v>
      </c>
      <c r="T404" s="2">
        <v>2095</v>
      </c>
    </row>
    <row r="405" spans="1:20" x14ac:dyDescent="0.25">
      <c r="A405" s="2">
        <v>3372868164</v>
      </c>
      <c r="B405" s="3">
        <v>42488</v>
      </c>
      <c r="C405" t="str">
        <f t="shared" si="31"/>
        <v>Thursday</v>
      </c>
      <c r="D405" t="str">
        <f t="shared" si="33"/>
        <v>Weekday</v>
      </c>
      <c r="E405" s="2">
        <v>5512</v>
      </c>
      <c r="F405" s="2">
        <v>3.7599999899999998</v>
      </c>
      <c r="G405" s="2">
        <v>3.7599999899999998</v>
      </c>
      <c r="H405" s="2">
        <v>0</v>
      </c>
      <c r="I405" s="2">
        <v>0</v>
      </c>
      <c r="J405" s="2">
        <v>0</v>
      </c>
      <c r="K405" s="2">
        <v>3.7599999899999998</v>
      </c>
      <c r="L405" s="2">
        <v>0</v>
      </c>
      <c r="M405" s="2">
        <v>0</v>
      </c>
      <c r="N405" s="2">
        <v>0</v>
      </c>
      <c r="O405" s="2">
        <v>385</v>
      </c>
      <c r="P405" s="2">
        <v>1055</v>
      </c>
      <c r="Q405" s="2">
        <f t="shared" si="32"/>
        <v>385</v>
      </c>
      <c r="R405" s="2">
        <f t="shared" si="30"/>
        <v>1440</v>
      </c>
      <c r="S405" t="str">
        <f t="shared" si="34"/>
        <v>Lightly Active</v>
      </c>
      <c r="T405" s="2">
        <v>1972</v>
      </c>
    </row>
    <row r="406" spans="1:20" x14ac:dyDescent="0.25">
      <c r="A406" s="2">
        <v>3372868164</v>
      </c>
      <c r="B406" s="3">
        <v>42489</v>
      </c>
      <c r="C406" t="str">
        <f t="shared" si="31"/>
        <v>Friday</v>
      </c>
      <c r="D406" t="str">
        <f t="shared" si="33"/>
        <v>Weekday</v>
      </c>
      <c r="E406" s="2">
        <v>9135</v>
      </c>
      <c r="F406" s="2">
        <v>6.2300000190000002</v>
      </c>
      <c r="G406" s="2">
        <v>6.2300000190000002</v>
      </c>
      <c r="H406" s="2">
        <v>0</v>
      </c>
      <c r="I406" s="2">
        <v>0</v>
      </c>
      <c r="J406" s="2">
        <v>0</v>
      </c>
      <c r="K406" s="2">
        <v>6.2199997900000001</v>
      </c>
      <c r="L406" s="2">
        <v>0.01</v>
      </c>
      <c r="M406" s="2">
        <v>0</v>
      </c>
      <c r="N406" s="2">
        <v>0</v>
      </c>
      <c r="O406" s="2">
        <v>402</v>
      </c>
      <c r="P406" s="2">
        <v>1038</v>
      </c>
      <c r="Q406" s="2">
        <f t="shared" si="32"/>
        <v>402</v>
      </c>
      <c r="R406" s="2">
        <f t="shared" si="30"/>
        <v>1440</v>
      </c>
      <c r="S406" t="str">
        <f t="shared" si="34"/>
        <v>Fairly Active</v>
      </c>
      <c r="T406" s="2">
        <v>2044</v>
      </c>
    </row>
    <row r="407" spans="1:20" x14ac:dyDescent="0.25">
      <c r="A407" s="2">
        <v>3372868164</v>
      </c>
      <c r="B407" s="3">
        <v>42490</v>
      </c>
      <c r="C407" t="str">
        <f t="shared" si="31"/>
        <v>Saturday</v>
      </c>
      <c r="D407" t="str">
        <f t="shared" si="33"/>
        <v>Weekend</v>
      </c>
      <c r="E407" s="2">
        <v>5250</v>
      </c>
      <c r="F407" s="2">
        <v>3.579999924</v>
      </c>
      <c r="G407" s="2">
        <v>3.579999924</v>
      </c>
      <c r="H407" s="2">
        <v>0</v>
      </c>
      <c r="I407" s="2">
        <v>1.059999943</v>
      </c>
      <c r="J407" s="2">
        <v>9.0000003999999995E-2</v>
      </c>
      <c r="K407" s="2">
        <v>2.420000076</v>
      </c>
      <c r="L407" s="2">
        <v>0.01</v>
      </c>
      <c r="M407" s="2">
        <v>17</v>
      </c>
      <c r="N407" s="2">
        <v>4</v>
      </c>
      <c r="O407" s="2">
        <v>300</v>
      </c>
      <c r="P407" s="2">
        <v>1119</v>
      </c>
      <c r="Q407" s="2">
        <f t="shared" si="32"/>
        <v>321</v>
      </c>
      <c r="R407" s="2">
        <f t="shared" si="30"/>
        <v>1440</v>
      </c>
      <c r="S407" t="str">
        <f t="shared" si="34"/>
        <v>Lightly Active</v>
      </c>
      <c r="T407" s="2">
        <v>1946</v>
      </c>
    </row>
    <row r="408" spans="1:20" x14ac:dyDescent="0.25">
      <c r="A408" s="2">
        <v>3372868164</v>
      </c>
      <c r="B408" s="3">
        <v>42491</v>
      </c>
      <c r="C408" t="str">
        <f t="shared" si="31"/>
        <v>Sunday</v>
      </c>
      <c r="D408" t="str">
        <f t="shared" si="33"/>
        <v>Weekend</v>
      </c>
      <c r="E408" s="2">
        <v>3077</v>
      </c>
      <c r="F408" s="2">
        <v>2.0999999049999998</v>
      </c>
      <c r="G408" s="2">
        <v>2.0999999049999998</v>
      </c>
      <c r="H408" s="2">
        <v>0</v>
      </c>
      <c r="I408" s="2">
        <v>0</v>
      </c>
      <c r="J408" s="2">
        <v>0</v>
      </c>
      <c r="K408" s="2">
        <v>2.0899999139999998</v>
      </c>
      <c r="L408" s="2">
        <v>0</v>
      </c>
      <c r="M408" s="2">
        <v>0</v>
      </c>
      <c r="N408" s="2">
        <v>0</v>
      </c>
      <c r="O408" s="2">
        <v>172</v>
      </c>
      <c r="P408" s="2">
        <v>842</v>
      </c>
      <c r="Q408" s="2">
        <f t="shared" si="32"/>
        <v>172</v>
      </c>
      <c r="R408" s="2">
        <f t="shared" si="30"/>
        <v>1014</v>
      </c>
      <c r="S408" t="str">
        <f t="shared" si="34"/>
        <v>Sedentary</v>
      </c>
      <c r="T408" s="2">
        <v>1237</v>
      </c>
    </row>
    <row r="409" spans="1:20" x14ac:dyDescent="0.25">
      <c r="A409" s="2">
        <v>3977333714</v>
      </c>
      <c r="B409" s="3">
        <v>42461</v>
      </c>
      <c r="C409" t="str">
        <f t="shared" si="31"/>
        <v>Friday</v>
      </c>
      <c r="D409" t="str">
        <f t="shared" si="33"/>
        <v>Weekday</v>
      </c>
      <c r="E409" s="2">
        <v>4499</v>
      </c>
      <c r="F409" s="2">
        <v>3.0099999899999998</v>
      </c>
      <c r="G409" s="2">
        <v>3.0099999899999998</v>
      </c>
      <c r="H409" s="2">
        <v>0</v>
      </c>
      <c r="I409" s="2">
        <v>0</v>
      </c>
      <c r="J409" s="2">
        <v>0</v>
      </c>
      <c r="K409" s="2">
        <v>3.0099999899999998</v>
      </c>
      <c r="L409" s="2">
        <v>0</v>
      </c>
      <c r="M409" s="2">
        <v>0</v>
      </c>
      <c r="N409" s="2">
        <v>0</v>
      </c>
      <c r="O409" s="2">
        <v>168</v>
      </c>
      <c r="P409" s="2">
        <v>842</v>
      </c>
      <c r="Q409" s="2">
        <f t="shared" si="32"/>
        <v>168</v>
      </c>
      <c r="R409" s="2">
        <f t="shared" si="30"/>
        <v>1010</v>
      </c>
      <c r="S409" t="str">
        <f t="shared" si="34"/>
        <v>Sedentary</v>
      </c>
      <c r="T409" s="2">
        <v>1288</v>
      </c>
    </row>
    <row r="410" spans="1:20" x14ac:dyDescent="0.25">
      <c r="A410" s="2">
        <v>3977333714</v>
      </c>
      <c r="B410" s="3">
        <v>42462</v>
      </c>
      <c r="C410" t="str">
        <f t="shared" si="31"/>
        <v>Saturday</v>
      </c>
      <c r="D410" t="str">
        <f t="shared" si="33"/>
        <v>Weekend</v>
      </c>
      <c r="E410" s="2">
        <v>7618</v>
      </c>
      <c r="F410" s="2">
        <v>5.0999999049999998</v>
      </c>
      <c r="G410" s="2">
        <v>5.0999999049999998</v>
      </c>
      <c r="H410" s="2">
        <v>0</v>
      </c>
      <c r="I410" s="2">
        <v>0</v>
      </c>
      <c r="J410" s="2">
        <v>0.18000000699999999</v>
      </c>
      <c r="K410" s="2">
        <v>4.9099998469999999</v>
      </c>
      <c r="L410" s="2">
        <v>0</v>
      </c>
      <c r="M410" s="2">
        <v>0</v>
      </c>
      <c r="N410" s="2">
        <v>6</v>
      </c>
      <c r="O410" s="2">
        <v>302</v>
      </c>
      <c r="P410" s="2">
        <v>842</v>
      </c>
      <c r="Q410" s="2">
        <f t="shared" si="32"/>
        <v>308</v>
      </c>
      <c r="R410" s="2">
        <f t="shared" si="30"/>
        <v>1150</v>
      </c>
      <c r="S410" t="str">
        <f t="shared" si="34"/>
        <v>Fairly Active</v>
      </c>
      <c r="T410" s="2">
        <v>1490</v>
      </c>
    </row>
    <row r="411" spans="1:20" x14ac:dyDescent="0.25">
      <c r="A411" s="2">
        <v>3977333714</v>
      </c>
      <c r="B411" s="3">
        <v>42463</v>
      </c>
      <c r="C411" t="str">
        <f t="shared" si="31"/>
        <v>Sunday</v>
      </c>
      <c r="D411" t="str">
        <f t="shared" si="33"/>
        <v>Weekend</v>
      </c>
      <c r="E411" s="2">
        <v>11508</v>
      </c>
      <c r="F411" s="2">
        <v>7.6999998090000004</v>
      </c>
      <c r="G411" s="2">
        <v>7.6999998090000004</v>
      </c>
      <c r="H411" s="2">
        <v>0</v>
      </c>
      <c r="I411" s="2">
        <v>2.170000076</v>
      </c>
      <c r="J411" s="2">
        <v>0.83999997400000004</v>
      </c>
      <c r="K411" s="2">
        <v>4.6900000569999998</v>
      </c>
      <c r="L411" s="2">
        <v>0</v>
      </c>
      <c r="M411" s="2">
        <v>29</v>
      </c>
      <c r="N411" s="2">
        <v>22</v>
      </c>
      <c r="O411" s="2">
        <v>282</v>
      </c>
      <c r="P411" s="2">
        <v>748</v>
      </c>
      <c r="Q411" s="2">
        <f t="shared" si="32"/>
        <v>333</v>
      </c>
      <c r="R411" s="2">
        <f t="shared" si="30"/>
        <v>1081</v>
      </c>
      <c r="S411" t="str">
        <f t="shared" si="34"/>
        <v>Highly Active</v>
      </c>
      <c r="T411" s="2">
        <v>1630</v>
      </c>
    </row>
    <row r="412" spans="1:20" x14ac:dyDescent="0.25">
      <c r="A412" s="2">
        <v>3977333714</v>
      </c>
      <c r="B412" s="3">
        <v>42464</v>
      </c>
      <c r="C412" t="str">
        <f t="shared" si="31"/>
        <v>Monday</v>
      </c>
      <c r="D412" t="str">
        <f t="shared" si="33"/>
        <v>Weekday</v>
      </c>
      <c r="E412" s="2">
        <v>11943</v>
      </c>
      <c r="F412" s="2">
        <v>7.9899997709999999</v>
      </c>
      <c r="G412" s="2">
        <v>7.9899997709999999</v>
      </c>
      <c r="H412" s="2">
        <v>0</v>
      </c>
      <c r="I412" s="2">
        <v>1.0299999710000001</v>
      </c>
      <c r="J412" s="2">
        <v>2.0099999899999998</v>
      </c>
      <c r="K412" s="2">
        <v>4.9499998090000004</v>
      </c>
      <c r="L412" s="2">
        <v>0</v>
      </c>
      <c r="M412" s="2">
        <v>16</v>
      </c>
      <c r="N412" s="2">
        <v>43</v>
      </c>
      <c r="O412" s="2">
        <v>297</v>
      </c>
      <c r="P412" s="2">
        <v>710</v>
      </c>
      <c r="Q412" s="2">
        <f t="shared" si="32"/>
        <v>356</v>
      </c>
      <c r="R412" s="2">
        <f t="shared" si="30"/>
        <v>1066</v>
      </c>
      <c r="S412" t="str">
        <f t="shared" si="34"/>
        <v>Highly Active</v>
      </c>
      <c r="T412" s="2">
        <v>1648</v>
      </c>
    </row>
    <row r="413" spans="1:20" x14ac:dyDescent="0.25">
      <c r="A413" s="2">
        <v>3977333714</v>
      </c>
      <c r="B413" s="3">
        <v>42465</v>
      </c>
      <c r="C413" t="str">
        <f t="shared" si="31"/>
        <v>Tuesday</v>
      </c>
      <c r="D413" t="str">
        <f t="shared" si="33"/>
        <v>Weekday</v>
      </c>
      <c r="E413" s="2">
        <v>12303</v>
      </c>
      <c r="F413" s="2">
        <v>8.2299995419999998</v>
      </c>
      <c r="G413" s="2">
        <v>8.2299995419999998</v>
      </c>
      <c r="H413" s="2">
        <v>0</v>
      </c>
      <c r="I413" s="2">
        <v>1.710000038</v>
      </c>
      <c r="J413" s="2">
        <v>1.3500000240000001</v>
      </c>
      <c r="K413" s="2">
        <v>5.170000076</v>
      </c>
      <c r="L413" s="2">
        <v>0</v>
      </c>
      <c r="M413" s="2">
        <v>26</v>
      </c>
      <c r="N413" s="2">
        <v>32</v>
      </c>
      <c r="O413" s="2">
        <v>291</v>
      </c>
      <c r="P413" s="2">
        <v>605</v>
      </c>
      <c r="Q413" s="2">
        <f t="shared" si="32"/>
        <v>349</v>
      </c>
      <c r="R413" s="2">
        <f t="shared" si="30"/>
        <v>954</v>
      </c>
      <c r="S413" t="str">
        <f t="shared" si="34"/>
        <v>Highly Active</v>
      </c>
      <c r="T413" s="2">
        <v>1649</v>
      </c>
    </row>
    <row r="414" spans="1:20" x14ac:dyDescent="0.25">
      <c r="A414" s="2">
        <v>3977333714</v>
      </c>
      <c r="B414" s="3">
        <v>42466</v>
      </c>
      <c r="C414" t="str">
        <f t="shared" si="31"/>
        <v>Wednesday</v>
      </c>
      <c r="D414" t="str">
        <f t="shared" si="33"/>
        <v>Weekday</v>
      </c>
      <c r="E414" s="2">
        <v>15425</v>
      </c>
      <c r="F414" s="2">
        <v>10.31999969</v>
      </c>
      <c r="G414" s="2">
        <v>10.31999969</v>
      </c>
      <c r="H414" s="2">
        <v>0</v>
      </c>
      <c r="I414" s="2">
        <v>1.6200000050000001</v>
      </c>
      <c r="J414" s="2">
        <v>1.8200000519999999</v>
      </c>
      <c r="K414" s="2">
        <v>6.8699998860000004</v>
      </c>
      <c r="L414" s="2">
        <v>0</v>
      </c>
      <c r="M414" s="2">
        <v>24</v>
      </c>
      <c r="N414" s="2">
        <v>45</v>
      </c>
      <c r="O414" s="2">
        <v>331</v>
      </c>
      <c r="P414" s="2">
        <v>614</v>
      </c>
      <c r="Q414" s="2">
        <f t="shared" si="32"/>
        <v>400</v>
      </c>
      <c r="R414" s="2">
        <f t="shared" si="30"/>
        <v>1014</v>
      </c>
      <c r="S414" t="str">
        <f t="shared" si="34"/>
        <v>Highly Active</v>
      </c>
      <c r="T414" s="2">
        <v>1783</v>
      </c>
    </row>
    <row r="415" spans="1:20" x14ac:dyDescent="0.25">
      <c r="A415" s="2">
        <v>3977333714</v>
      </c>
      <c r="B415" s="3">
        <v>42467</v>
      </c>
      <c r="C415" t="str">
        <f t="shared" si="31"/>
        <v>Thursday</v>
      </c>
      <c r="D415" t="str">
        <f t="shared" si="33"/>
        <v>Weekday</v>
      </c>
      <c r="E415" s="2">
        <v>8422</v>
      </c>
      <c r="F415" s="2">
        <v>5.6300001139999996</v>
      </c>
      <c r="G415" s="2">
        <v>5.6300001139999996</v>
      </c>
      <c r="H415" s="2">
        <v>0</v>
      </c>
      <c r="I415" s="2">
        <v>0</v>
      </c>
      <c r="J415" s="2">
        <v>3.5999999049999998</v>
      </c>
      <c r="K415" s="2">
        <v>2.039999962</v>
      </c>
      <c r="L415" s="2">
        <v>0</v>
      </c>
      <c r="M415" s="2">
        <v>0</v>
      </c>
      <c r="N415" s="2">
        <v>81</v>
      </c>
      <c r="O415" s="2">
        <v>139</v>
      </c>
      <c r="P415" s="2">
        <v>815</v>
      </c>
      <c r="Q415" s="2">
        <f t="shared" si="32"/>
        <v>220</v>
      </c>
      <c r="R415" s="2">
        <f t="shared" si="30"/>
        <v>1035</v>
      </c>
      <c r="S415" t="str">
        <f t="shared" si="34"/>
        <v>Fairly Active</v>
      </c>
      <c r="T415" s="2">
        <v>1431</v>
      </c>
    </row>
    <row r="416" spans="1:20" x14ac:dyDescent="0.25">
      <c r="A416" s="2">
        <v>3977333714</v>
      </c>
      <c r="B416" s="3">
        <v>42468</v>
      </c>
      <c r="C416" t="str">
        <f t="shared" si="31"/>
        <v>Friday</v>
      </c>
      <c r="D416" t="str">
        <f t="shared" si="33"/>
        <v>Weekday</v>
      </c>
      <c r="E416" s="2">
        <v>10226</v>
      </c>
      <c r="F416" s="2">
        <v>6.8400001530000001</v>
      </c>
      <c r="G416" s="2">
        <v>6.8400001530000001</v>
      </c>
      <c r="H416" s="2">
        <v>0</v>
      </c>
      <c r="I416" s="2">
        <v>0</v>
      </c>
      <c r="J416" s="2">
        <v>4.4400000569999998</v>
      </c>
      <c r="K416" s="2">
        <v>2.4000000950000002</v>
      </c>
      <c r="L416" s="2">
        <v>0</v>
      </c>
      <c r="M416" s="2">
        <v>0</v>
      </c>
      <c r="N416" s="2">
        <v>101</v>
      </c>
      <c r="O416" s="2">
        <v>174</v>
      </c>
      <c r="P416" s="2">
        <v>685</v>
      </c>
      <c r="Q416" s="2">
        <f t="shared" si="32"/>
        <v>275</v>
      </c>
      <c r="R416" s="2">
        <f t="shared" si="30"/>
        <v>960</v>
      </c>
      <c r="S416" t="str">
        <f t="shared" si="34"/>
        <v>Highly Active</v>
      </c>
      <c r="T416" s="2">
        <v>1524</v>
      </c>
    </row>
    <row r="417" spans="1:20" x14ac:dyDescent="0.25">
      <c r="A417" s="2">
        <v>3977333714</v>
      </c>
      <c r="B417" s="3">
        <v>42469</v>
      </c>
      <c r="C417" t="str">
        <f t="shared" si="31"/>
        <v>Saturday</v>
      </c>
      <c r="D417" t="str">
        <f t="shared" si="33"/>
        <v>Weekend</v>
      </c>
      <c r="E417" s="2">
        <v>14583</v>
      </c>
      <c r="F417" s="2">
        <v>9.7600002289999992</v>
      </c>
      <c r="G417" s="2">
        <v>9.7600002289999992</v>
      </c>
      <c r="H417" s="2">
        <v>0</v>
      </c>
      <c r="I417" s="2">
        <v>2.4800000190000002</v>
      </c>
      <c r="J417" s="2">
        <v>1.7400000099999999</v>
      </c>
      <c r="K417" s="2">
        <v>5.5300002099999999</v>
      </c>
      <c r="L417" s="2">
        <v>0</v>
      </c>
      <c r="M417" s="2">
        <v>35</v>
      </c>
      <c r="N417" s="2">
        <v>36</v>
      </c>
      <c r="O417" s="2">
        <v>254</v>
      </c>
      <c r="P417" s="2">
        <v>697</v>
      </c>
      <c r="Q417" s="2">
        <f t="shared" si="32"/>
        <v>325</v>
      </c>
      <c r="R417" s="2">
        <f t="shared" si="30"/>
        <v>1022</v>
      </c>
      <c r="S417" t="str">
        <f t="shared" si="34"/>
        <v>Highly Active</v>
      </c>
      <c r="T417" s="2">
        <v>1697</v>
      </c>
    </row>
    <row r="418" spans="1:20" x14ac:dyDescent="0.25">
      <c r="A418" s="2">
        <v>3977333714</v>
      </c>
      <c r="B418" s="3">
        <v>42470</v>
      </c>
      <c r="C418" t="str">
        <f t="shared" si="31"/>
        <v>Sunday</v>
      </c>
      <c r="D418" t="str">
        <f t="shared" si="33"/>
        <v>Weekend</v>
      </c>
      <c r="E418" s="2">
        <v>3573</v>
      </c>
      <c r="F418" s="2">
        <v>2.3900001049999999</v>
      </c>
      <c r="G418" s="2">
        <v>2.3900001049999999</v>
      </c>
      <c r="H418" s="2">
        <v>0</v>
      </c>
      <c r="I418" s="2">
        <v>0.939999998</v>
      </c>
      <c r="J418" s="2">
        <v>0.40999999599999998</v>
      </c>
      <c r="K418" s="2">
        <v>0.97000002900000004</v>
      </c>
      <c r="L418" s="2">
        <v>0</v>
      </c>
      <c r="M418" s="2">
        <v>15</v>
      </c>
      <c r="N418" s="2">
        <v>8</v>
      </c>
      <c r="O418" s="2">
        <v>99</v>
      </c>
      <c r="P418" s="2">
        <v>866</v>
      </c>
      <c r="Q418" s="2">
        <f t="shared" si="32"/>
        <v>122</v>
      </c>
      <c r="R418" s="2">
        <f t="shared" si="30"/>
        <v>988</v>
      </c>
      <c r="S418" t="str">
        <f t="shared" si="34"/>
        <v>Sedentary</v>
      </c>
      <c r="T418" s="2">
        <v>1232</v>
      </c>
    </row>
    <row r="419" spans="1:20" x14ac:dyDescent="0.25">
      <c r="A419" s="2">
        <v>3977333714</v>
      </c>
      <c r="B419" s="3">
        <v>42471</v>
      </c>
      <c r="C419" t="str">
        <f t="shared" si="31"/>
        <v>Monday</v>
      </c>
      <c r="D419" t="str">
        <f t="shared" si="33"/>
        <v>Weekday</v>
      </c>
      <c r="E419" s="2">
        <v>3108</v>
      </c>
      <c r="F419" s="2">
        <v>2.1400001049999999</v>
      </c>
      <c r="G419" s="2">
        <v>2.1400001049999999</v>
      </c>
      <c r="H419" s="2">
        <v>0</v>
      </c>
      <c r="I419" s="2">
        <v>7.0000000000000007E-2</v>
      </c>
      <c r="J419" s="2">
        <v>3.9999999000000001E-2</v>
      </c>
      <c r="K419" s="2">
        <v>1.960000038</v>
      </c>
      <c r="L419" s="2">
        <v>0</v>
      </c>
      <c r="M419" s="2">
        <v>1</v>
      </c>
      <c r="N419" s="2">
        <v>1</v>
      </c>
      <c r="O419" s="2">
        <v>129</v>
      </c>
      <c r="P419" s="2">
        <v>894</v>
      </c>
      <c r="Q419" s="2">
        <f t="shared" si="32"/>
        <v>131</v>
      </c>
      <c r="R419" s="2">
        <f t="shared" si="30"/>
        <v>1025</v>
      </c>
      <c r="S419" t="str">
        <f t="shared" si="34"/>
        <v>Sedentary</v>
      </c>
      <c r="T419" s="2">
        <v>1223</v>
      </c>
    </row>
    <row r="420" spans="1:20" x14ac:dyDescent="0.25">
      <c r="A420" s="2">
        <v>3977333714</v>
      </c>
      <c r="B420" s="3">
        <v>42473</v>
      </c>
      <c r="C420" t="str">
        <f t="shared" si="31"/>
        <v>Wednesday</v>
      </c>
      <c r="D420" t="str">
        <f t="shared" si="33"/>
        <v>Weekday</v>
      </c>
      <c r="E420" s="2">
        <v>10035</v>
      </c>
      <c r="F420" s="2">
        <v>6.7100000380000004</v>
      </c>
      <c r="G420" s="2">
        <v>6.7100000380000004</v>
      </c>
      <c r="H420" s="2">
        <v>0</v>
      </c>
      <c r="I420" s="2">
        <v>2.0299999710000001</v>
      </c>
      <c r="J420" s="2">
        <v>2.130000114</v>
      </c>
      <c r="K420" s="2">
        <v>2.5499999519999998</v>
      </c>
      <c r="L420" s="2">
        <v>0</v>
      </c>
      <c r="M420" s="2">
        <v>31</v>
      </c>
      <c r="N420" s="2">
        <v>46</v>
      </c>
      <c r="O420" s="2">
        <v>153</v>
      </c>
      <c r="P420" s="2">
        <v>754</v>
      </c>
      <c r="Q420" s="2">
        <f t="shared" si="32"/>
        <v>230</v>
      </c>
      <c r="R420" s="2">
        <f t="shared" si="30"/>
        <v>984</v>
      </c>
      <c r="S420" t="str">
        <f t="shared" si="34"/>
        <v>Highly Active</v>
      </c>
      <c r="T420" s="2">
        <v>1495</v>
      </c>
    </row>
    <row r="421" spans="1:20" x14ac:dyDescent="0.25">
      <c r="A421" s="2">
        <v>3977333714</v>
      </c>
      <c r="B421" s="3">
        <v>42474</v>
      </c>
      <c r="C421" t="str">
        <f t="shared" si="31"/>
        <v>Thursday</v>
      </c>
      <c r="D421" t="str">
        <f t="shared" si="33"/>
        <v>Weekday</v>
      </c>
      <c r="E421" s="2">
        <v>7641</v>
      </c>
      <c r="F421" s="2">
        <v>5.1100001339999999</v>
      </c>
      <c r="G421" s="2">
        <v>5.1100001339999999</v>
      </c>
      <c r="H421" s="2">
        <v>0</v>
      </c>
      <c r="I421" s="2">
        <v>0.31999999299999998</v>
      </c>
      <c r="J421" s="2">
        <v>0.97000002900000004</v>
      </c>
      <c r="K421" s="2">
        <v>3.8199999330000001</v>
      </c>
      <c r="L421" s="2">
        <v>0</v>
      </c>
      <c r="M421" s="2">
        <v>5</v>
      </c>
      <c r="N421" s="2">
        <v>23</v>
      </c>
      <c r="O421" s="2">
        <v>214</v>
      </c>
      <c r="P421" s="2">
        <v>801</v>
      </c>
      <c r="Q421" s="2">
        <f t="shared" si="32"/>
        <v>242</v>
      </c>
      <c r="R421" s="2">
        <f t="shared" si="30"/>
        <v>1043</v>
      </c>
      <c r="S421" t="str">
        <f t="shared" si="34"/>
        <v>Fairly Active</v>
      </c>
      <c r="T421" s="2">
        <v>1433</v>
      </c>
    </row>
    <row r="422" spans="1:20" x14ac:dyDescent="0.25">
      <c r="A422" s="2">
        <v>3977333714</v>
      </c>
      <c r="B422" s="3">
        <v>42475</v>
      </c>
      <c r="C422" t="str">
        <f t="shared" si="31"/>
        <v>Friday</v>
      </c>
      <c r="D422" t="str">
        <f t="shared" si="33"/>
        <v>Weekday</v>
      </c>
      <c r="E422" s="2">
        <v>9010</v>
      </c>
      <c r="F422" s="2">
        <v>6.0599999430000002</v>
      </c>
      <c r="G422" s="2">
        <v>6.0599999430000002</v>
      </c>
      <c r="H422" s="2">
        <v>0</v>
      </c>
      <c r="I422" s="2">
        <v>1.0499999520000001</v>
      </c>
      <c r="J422" s="2">
        <v>1.75</v>
      </c>
      <c r="K422" s="2">
        <v>3.2599999899999998</v>
      </c>
      <c r="L422" s="2">
        <v>0</v>
      </c>
      <c r="M422" s="2">
        <v>15</v>
      </c>
      <c r="N422" s="2">
        <v>42</v>
      </c>
      <c r="O422" s="2">
        <v>183</v>
      </c>
      <c r="P422" s="2">
        <v>644</v>
      </c>
      <c r="Q422" s="2">
        <f t="shared" si="32"/>
        <v>240</v>
      </c>
      <c r="R422" s="2">
        <f t="shared" si="30"/>
        <v>884</v>
      </c>
      <c r="S422" t="str">
        <f t="shared" si="34"/>
        <v>Fairly Active</v>
      </c>
      <c r="T422" s="2">
        <v>1468</v>
      </c>
    </row>
    <row r="423" spans="1:20" x14ac:dyDescent="0.25">
      <c r="A423" s="2">
        <v>3977333714</v>
      </c>
      <c r="B423" s="3">
        <v>42476</v>
      </c>
      <c r="C423" t="str">
        <f t="shared" si="31"/>
        <v>Saturday</v>
      </c>
      <c r="D423" t="str">
        <f t="shared" si="33"/>
        <v>Weekend</v>
      </c>
      <c r="E423" s="2">
        <v>13459</v>
      </c>
      <c r="F423" s="2">
        <v>9</v>
      </c>
      <c r="G423" s="2">
        <v>9</v>
      </c>
      <c r="H423" s="2">
        <v>0</v>
      </c>
      <c r="I423" s="2">
        <v>2.0299999710000001</v>
      </c>
      <c r="J423" s="2">
        <v>4</v>
      </c>
      <c r="K423" s="2">
        <v>2.9700000289999999</v>
      </c>
      <c r="L423" s="2">
        <v>0</v>
      </c>
      <c r="M423" s="2">
        <v>31</v>
      </c>
      <c r="N423" s="2">
        <v>83</v>
      </c>
      <c r="O423" s="2">
        <v>153</v>
      </c>
      <c r="P423" s="2">
        <v>663</v>
      </c>
      <c r="Q423" s="2">
        <f t="shared" si="32"/>
        <v>267</v>
      </c>
      <c r="R423" s="2">
        <f t="shared" si="30"/>
        <v>930</v>
      </c>
      <c r="S423" t="str">
        <f t="shared" si="34"/>
        <v>Highly Active</v>
      </c>
      <c r="T423" s="2">
        <v>1625</v>
      </c>
    </row>
    <row r="424" spans="1:20" x14ac:dyDescent="0.25">
      <c r="A424" s="2">
        <v>3977333714</v>
      </c>
      <c r="B424" s="3">
        <v>42477</v>
      </c>
      <c r="C424" t="str">
        <f t="shared" si="31"/>
        <v>Sunday</v>
      </c>
      <c r="D424" t="str">
        <f t="shared" si="33"/>
        <v>Weekend</v>
      </c>
      <c r="E424" s="2">
        <v>10415</v>
      </c>
      <c r="F424" s="2">
        <v>6.9699997900000001</v>
      </c>
      <c r="G424" s="2">
        <v>6.9699997900000001</v>
      </c>
      <c r="H424" s="2">
        <v>0</v>
      </c>
      <c r="I424" s="2">
        <v>0.69999998799999996</v>
      </c>
      <c r="J424" s="2">
        <v>2.3499999049999998</v>
      </c>
      <c r="K424" s="2">
        <v>3.920000076</v>
      </c>
      <c r="L424" s="2">
        <v>0</v>
      </c>
      <c r="M424" s="2">
        <v>11</v>
      </c>
      <c r="N424" s="2">
        <v>58</v>
      </c>
      <c r="O424" s="2">
        <v>205</v>
      </c>
      <c r="P424" s="2">
        <v>600</v>
      </c>
      <c r="Q424" s="2">
        <f t="shared" si="32"/>
        <v>274</v>
      </c>
      <c r="R424" s="2">
        <f t="shared" si="30"/>
        <v>874</v>
      </c>
      <c r="S424" t="str">
        <f t="shared" si="34"/>
        <v>Highly Active</v>
      </c>
      <c r="T424" s="2">
        <v>1529</v>
      </c>
    </row>
    <row r="425" spans="1:20" x14ac:dyDescent="0.25">
      <c r="A425" s="2">
        <v>3977333714</v>
      </c>
      <c r="B425" s="3">
        <v>42478</v>
      </c>
      <c r="C425" t="str">
        <f t="shared" si="31"/>
        <v>Monday</v>
      </c>
      <c r="D425" t="str">
        <f t="shared" si="33"/>
        <v>Weekday</v>
      </c>
      <c r="E425" s="2">
        <v>11663</v>
      </c>
      <c r="F425" s="2">
        <v>7.8000001909999996</v>
      </c>
      <c r="G425" s="2">
        <v>7.8000001909999996</v>
      </c>
      <c r="H425" s="2">
        <v>0</v>
      </c>
      <c r="I425" s="2">
        <v>0.25</v>
      </c>
      <c r="J425" s="2">
        <v>3.7300000190000002</v>
      </c>
      <c r="K425" s="2">
        <v>3.8199999330000001</v>
      </c>
      <c r="L425" s="2">
        <v>0</v>
      </c>
      <c r="M425" s="2">
        <v>4</v>
      </c>
      <c r="N425" s="2">
        <v>95</v>
      </c>
      <c r="O425" s="2">
        <v>214</v>
      </c>
      <c r="P425" s="2">
        <v>605</v>
      </c>
      <c r="Q425" s="2">
        <f t="shared" si="32"/>
        <v>313</v>
      </c>
      <c r="R425" s="2">
        <f t="shared" si="30"/>
        <v>918</v>
      </c>
      <c r="S425" t="str">
        <f t="shared" si="34"/>
        <v>Highly Active</v>
      </c>
      <c r="T425" s="2">
        <v>1584</v>
      </c>
    </row>
    <row r="426" spans="1:20" x14ac:dyDescent="0.25">
      <c r="A426" s="2">
        <v>3977333714</v>
      </c>
      <c r="B426" s="3">
        <v>42479</v>
      </c>
      <c r="C426" t="str">
        <f t="shared" si="31"/>
        <v>Tuesday</v>
      </c>
      <c r="D426" t="str">
        <f t="shared" si="33"/>
        <v>Weekday</v>
      </c>
      <c r="E426" s="2">
        <v>12414</v>
      </c>
      <c r="F426" s="2">
        <v>8.7799997330000004</v>
      </c>
      <c r="G426" s="2">
        <v>8.7799997330000004</v>
      </c>
      <c r="H426" s="2">
        <v>0</v>
      </c>
      <c r="I426" s="2">
        <v>2.2400000100000002</v>
      </c>
      <c r="J426" s="2">
        <v>2.4500000480000002</v>
      </c>
      <c r="K426" s="2">
        <v>3.960000038</v>
      </c>
      <c r="L426" s="2">
        <v>0</v>
      </c>
      <c r="M426" s="2">
        <v>19</v>
      </c>
      <c r="N426" s="2">
        <v>67</v>
      </c>
      <c r="O426" s="2">
        <v>221</v>
      </c>
      <c r="P426" s="2">
        <v>738</v>
      </c>
      <c r="Q426" s="2">
        <f t="shared" si="32"/>
        <v>307</v>
      </c>
      <c r="R426" s="2">
        <f t="shared" si="30"/>
        <v>1045</v>
      </c>
      <c r="S426" t="str">
        <f t="shared" si="34"/>
        <v>Highly Active</v>
      </c>
      <c r="T426" s="2">
        <v>1638</v>
      </c>
    </row>
    <row r="427" spans="1:20" x14ac:dyDescent="0.25">
      <c r="A427" s="2">
        <v>3977333714</v>
      </c>
      <c r="B427" s="3">
        <v>42480</v>
      </c>
      <c r="C427" t="str">
        <f t="shared" si="31"/>
        <v>Wednesday</v>
      </c>
      <c r="D427" t="str">
        <f t="shared" si="33"/>
        <v>Weekday</v>
      </c>
      <c r="E427" s="2">
        <v>11658</v>
      </c>
      <c r="F427" s="2">
        <v>7.829999924</v>
      </c>
      <c r="G427" s="2">
        <v>7.829999924</v>
      </c>
      <c r="H427" s="2">
        <v>0</v>
      </c>
      <c r="I427" s="2">
        <v>0.20000000300000001</v>
      </c>
      <c r="J427" s="2">
        <v>4.3499999049999998</v>
      </c>
      <c r="K427" s="2">
        <v>3.2799999710000001</v>
      </c>
      <c r="L427" s="2">
        <v>0</v>
      </c>
      <c r="M427" s="2">
        <v>2</v>
      </c>
      <c r="N427" s="2">
        <v>98</v>
      </c>
      <c r="O427" s="2">
        <v>164</v>
      </c>
      <c r="P427" s="2">
        <v>845</v>
      </c>
      <c r="Q427" s="2">
        <f t="shared" si="32"/>
        <v>264</v>
      </c>
      <c r="R427" s="2">
        <f t="shared" si="30"/>
        <v>1109</v>
      </c>
      <c r="S427" t="str">
        <f t="shared" si="34"/>
        <v>Highly Active</v>
      </c>
      <c r="T427" s="2">
        <v>1554</v>
      </c>
    </row>
    <row r="428" spans="1:20" x14ac:dyDescent="0.25">
      <c r="A428" s="2">
        <v>3977333714</v>
      </c>
      <c r="B428" s="3">
        <v>42481</v>
      </c>
      <c r="C428" t="str">
        <f t="shared" si="31"/>
        <v>Thursday</v>
      </c>
      <c r="D428" t="str">
        <f t="shared" si="33"/>
        <v>Weekday</v>
      </c>
      <c r="E428" s="2">
        <v>6093</v>
      </c>
      <c r="F428" s="2">
        <v>4.079999924</v>
      </c>
      <c r="G428" s="2">
        <v>4.079999924</v>
      </c>
      <c r="H428" s="2">
        <v>0</v>
      </c>
      <c r="I428" s="2">
        <v>0</v>
      </c>
      <c r="J428" s="2">
        <v>0</v>
      </c>
      <c r="K428" s="2">
        <v>4.0599999430000002</v>
      </c>
      <c r="L428" s="2">
        <v>0</v>
      </c>
      <c r="M428" s="2">
        <v>0</v>
      </c>
      <c r="N428" s="2">
        <v>0</v>
      </c>
      <c r="O428" s="2">
        <v>242</v>
      </c>
      <c r="P428" s="2">
        <v>712</v>
      </c>
      <c r="Q428" s="2">
        <f t="shared" si="32"/>
        <v>242</v>
      </c>
      <c r="R428" s="2">
        <f t="shared" si="30"/>
        <v>954</v>
      </c>
      <c r="S428" t="str">
        <f t="shared" si="34"/>
        <v>Lightly Active</v>
      </c>
      <c r="T428" s="2">
        <v>1397</v>
      </c>
    </row>
    <row r="429" spans="1:20" x14ac:dyDescent="0.25">
      <c r="A429" s="2">
        <v>3977333714</v>
      </c>
      <c r="B429" s="3">
        <v>42482</v>
      </c>
      <c r="C429" t="str">
        <f t="shared" si="31"/>
        <v>Friday</v>
      </c>
      <c r="D429" t="str">
        <f t="shared" si="33"/>
        <v>Weekday</v>
      </c>
      <c r="E429" s="2">
        <v>8911</v>
      </c>
      <c r="F429" s="2">
        <v>5.9600000380000004</v>
      </c>
      <c r="G429" s="2">
        <v>5.9600000380000004</v>
      </c>
      <c r="H429" s="2">
        <v>0</v>
      </c>
      <c r="I429" s="2">
        <v>2.329999924</v>
      </c>
      <c r="J429" s="2">
        <v>0.579999983</v>
      </c>
      <c r="K429" s="2">
        <v>3.0599999430000002</v>
      </c>
      <c r="L429" s="2">
        <v>0</v>
      </c>
      <c r="M429" s="2">
        <v>33</v>
      </c>
      <c r="N429" s="2">
        <v>12</v>
      </c>
      <c r="O429" s="2">
        <v>188</v>
      </c>
      <c r="P429" s="2">
        <v>731</v>
      </c>
      <c r="Q429" s="2">
        <f t="shared" si="32"/>
        <v>233</v>
      </c>
      <c r="R429" s="2">
        <f t="shared" si="30"/>
        <v>964</v>
      </c>
      <c r="S429" t="str">
        <f t="shared" si="34"/>
        <v>Fairly Active</v>
      </c>
      <c r="T429" s="2">
        <v>1481</v>
      </c>
    </row>
    <row r="430" spans="1:20" x14ac:dyDescent="0.25">
      <c r="A430" s="2">
        <v>3977333714</v>
      </c>
      <c r="B430" s="3">
        <v>42483</v>
      </c>
      <c r="C430" t="str">
        <f t="shared" si="31"/>
        <v>Saturday</v>
      </c>
      <c r="D430" t="str">
        <f t="shared" si="33"/>
        <v>Weekend</v>
      </c>
      <c r="E430" s="2">
        <v>12058</v>
      </c>
      <c r="F430" s="2">
        <v>8.0699996949999999</v>
      </c>
      <c r="G430" s="2">
        <v>8.0699996949999999</v>
      </c>
      <c r="H430" s="2">
        <v>0</v>
      </c>
      <c r="I430" s="2">
        <v>0</v>
      </c>
      <c r="J430" s="2">
        <v>4.2199997900000001</v>
      </c>
      <c r="K430" s="2">
        <v>3.8499999049999998</v>
      </c>
      <c r="L430" s="2">
        <v>0</v>
      </c>
      <c r="M430" s="2">
        <v>0</v>
      </c>
      <c r="N430" s="2">
        <v>92</v>
      </c>
      <c r="O430" s="2">
        <v>252</v>
      </c>
      <c r="P430" s="2">
        <v>724</v>
      </c>
      <c r="Q430" s="2">
        <f t="shared" si="32"/>
        <v>344</v>
      </c>
      <c r="R430" s="2">
        <f t="shared" si="30"/>
        <v>1068</v>
      </c>
      <c r="S430" t="str">
        <f t="shared" si="34"/>
        <v>Highly Active</v>
      </c>
      <c r="T430" s="2">
        <v>1638</v>
      </c>
    </row>
    <row r="431" spans="1:20" x14ac:dyDescent="0.25">
      <c r="A431" s="2">
        <v>3977333714</v>
      </c>
      <c r="B431" s="3">
        <v>42484</v>
      </c>
      <c r="C431" t="str">
        <f t="shared" si="31"/>
        <v>Sunday</v>
      </c>
      <c r="D431" t="str">
        <f t="shared" si="33"/>
        <v>Weekend</v>
      </c>
      <c r="E431" s="2">
        <v>14112</v>
      </c>
      <c r="F431" s="2">
        <v>10</v>
      </c>
      <c r="G431" s="2">
        <v>10</v>
      </c>
      <c r="H431" s="2">
        <v>0</v>
      </c>
      <c r="I431" s="2">
        <v>3.2699999809999998</v>
      </c>
      <c r="J431" s="2">
        <v>4.5599999430000002</v>
      </c>
      <c r="K431" s="2">
        <v>2.170000076</v>
      </c>
      <c r="L431" s="2">
        <v>0</v>
      </c>
      <c r="M431" s="2">
        <v>30</v>
      </c>
      <c r="N431" s="2">
        <v>95</v>
      </c>
      <c r="O431" s="2">
        <v>129</v>
      </c>
      <c r="P431" s="2">
        <v>660</v>
      </c>
      <c r="Q431" s="2">
        <f t="shared" si="32"/>
        <v>254</v>
      </c>
      <c r="R431" s="2">
        <f t="shared" si="30"/>
        <v>914</v>
      </c>
      <c r="S431" t="str">
        <f t="shared" si="34"/>
        <v>Highly Active</v>
      </c>
      <c r="T431" s="2">
        <v>1655</v>
      </c>
    </row>
    <row r="432" spans="1:20" x14ac:dyDescent="0.25">
      <c r="A432" s="2">
        <v>3977333714</v>
      </c>
      <c r="B432" s="3">
        <v>42485</v>
      </c>
      <c r="C432" t="str">
        <f t="shared" si="31"/>
        <v>Monday</v>
      </c>
      <c r="D432" t="str">
        <f t="shared" si="33"/>
        <v>Weekday</v>
      </c>
      <c r="E432" s="2">
        <v>11177</v>
      </c>
      <c r="F432" s="2">
        <v>8.4799995419999998</v>
      </c>
      <c r="G432" s="2">
        <v>8.4799995419999998</v>
      </c>
      <c r="H432" s="2">
        <v>0</v>
      </c>
      <c r="I432" s="2">
        <v>5.6199998860000004</v>
      </c>
      <c r="J432" s="2">
        <v>0.43000000700000002</v>
      </c>
      <c r="K432" s="2">
        <v>2.4100000860000002</v>
      </c>
      <c r="L432" s="2">
        <v>0</v>
      </c>
      <c r="M432" s="2">
        <v>50</v>
      </c>
      <c r="N432" s="2">
        <v>9</v>
      </c>
      <c r="O432" s="2">
        <v>133</v>
      </c>
      <c r="P432" s="2">
        <v>781</v>
      </c>
      <c r="Q432" s="2">
        <f t="shared" si="32"/>
        <v>192</v>
      </c>
      <c r="R432" s="2">
        <f t="shared" si="30"/>
        <v>973</v>
      </c>
      <c r="S432" t="str">
        <f t="shared" si="34"/>
        <v>Highly Active</v>
      </c>
      <c r="T432" s="2">
        <v>1570</v>
      </c>
    </row>
    <row r="433" spans="1:20" x14ac:dyDescent="0.25">
      <c r="A433" s="2">
        <v>3977333714</v>
      </c>
      <c r="B433" s="3">
        <v>42486</v>
      </c>
      <c r="C433" t="str">
        <f t="shared" si="31"/>
        <v>Tuesday</v>
      </c>
      <c r="D433" t="str">
        <f t="shared" si="33"/>
        <v>Weekday</v>
      </c>
      <c r="E433" s="2">
        <v>11388</v>
      </c>
      <c r="F433" s="2">
        <v>7.6199998860000004</v>
      </c>
      <c r="G433" s="2">
        <v>7.6199998860000004</v>
      </c>
      <c r="H433" s="2">
        <v>0</v>
      </c>
      <c r="I433" s="2">
        <v>0.44999998800000002</v>
      </c>
      <c r="J433" s="2">
        <v>4.2199997900000001</v>
      </c>
      <c r="K433" s="2">
        <v>2.9500000480000002</v>
      </c>
      <c r="L433" s="2">
        <v>0</v>
      </c>
      <c r="M433" s="2">
        <v>7</v>
      </c>
      <c r="N433" s="2">
        <v>95</v>
      </c>
      <c r="O433" s="2">
        <v>170</v>
      </c>
      <c r="P433" s="2">
        <v>797</v>
      </c>
      <c r="Q433" s="2">
        <f t="shared" si="32"/>
        <v>272</v>
      </c>
      <c r="R433" s="2">
        <f t="shared" si="30"/>
        <v>1069</v>
      </c>
      <c r="S433" t="str">
        <f t="shared" si="34"/>
        <v>Highly Active</v>
      </c>
      <c r="T433" s="2">
        <v>1551</v>
      </c>
    </row>
    <row r="434" spans="1:20" x14ac:dyDescent="0.25">
      <c r="A434" s="2">
        <v>3977333714</v>
      </c>
      <c r="B434" s="3">
        <v>42487</v>
      </c>
      <c r="C434" t="str">
        <f t="shared" si="31"/>
        <v>Wednesday</v>
      </c>
      <c r="D434" t="str">
        <f t="shared" si="33"/>
        <v>Weekday</v>
      </c>
      <c r="E434" s="2">
        <v>7193</v>
      </c>
      <c r="F434" s="2">
        <v>5.0399999619999996</v>
      </c>
      <c r="G434" s="2">
        <v>5.0399999619999996</v>
      </c>
      <c r="H434" s="2">
        <v>0</v>
      </c>
      <c r="I434" s="2">
        <v>0</v>
      </c>
      <c r="J434" s="2">
        <v>0.41999998700000002</v>
      </c>
      <c r="K434" s="2">
        <v>4.6199998860000004</v>
      </c>
      <c r="L434" s="2">
        <v>0</v>
      </c>
      <c r="M434" s="2">
        <v>0</v>
      </c>
      <c r="N434" s="2">
        <v>10</v>
      </c>
      <c r="O434" s="2">
        <v>176</v>
      </c>
      <c r="P434" s="2">
        <v>714</v>
      </c>
      <c r="Q434" s="2">
        <f t="shared" si="32"/>
        <v>186</v>
      </c>
      <c r="R434" s="2">
        <f t="shared" si="30"/>
        <v>900</v>
      </c>
      <c r="S434" t="str">
        <f t="shared" si="34"/>
        <v>Lightly Active</v>
      </c>
      <c r="T434" s="2">
        <v>1377</v>
      </c>
    </row>
    <row r="435" spans="1:20" x14ac:dyDescent="0.25">
      <c r="A435" s="2">
        <v>3977333714</v>
      </c>
      <c r="B435" s="3">
        <v>42488</v>
      </c>
      <c r="C435" t="str">
        <f t="shared" si="31"/>
        <v>Thursday</v>
      </c>
      <c r="D435" t="str">
        <f t="shared" si="33"/>
        <v>Weekday</v>
      </c>
      <c r="E435" s="2">
        <v>7114</v>
      </c>
      <c r="F435" s="2">
        <v>4.8800001139999996</v>
      </c>
      <c r="G435" s="2">
        <v>4.8800001139999996</v>
      </c>
      <c r="H435" s="2">
        <v>0</v>
      </c>
      <c r="I435" s="2">
        <v>1.3700000050000001</v>
      </c>
      <c r="J435" s="2">
        <v>0.28999999199999998</v>
      </c>
      <c r="K435" s="2">
        <v>3.2200000289999999</v>
      </c>
      <c r="L435" s="2">
        <v>0</v>
      </c>
      <c r="M435" s="2">
        <v>15</v>
      </c>
      <c r="N435" s="2">
        <v>8</v>
      </c>
      <c r="O435" s="2">
        <v>190</v>
      </c>
      <c r="P435" s="2">
        <v>804</v>
      </c>
      <c r="Q435" s="2">
        <f t="shared" si="32"/>
        <v>213</v>
      </c>
      <c r="R435" s="2">
        <f t="shared" si="30"/>
        <v>1017</v>
      </c>
      <c r="S435" t="str">
        <f t="shared" si="34"/>
        <v>Lightly Active</v>
      </c>
      <c r="T435" s="2">
        <v>1407</v>
      </c>
    </row>
    <row r="436" spans="1:20" x14ac:dyDescent="0.25">
      <c r="A436" s="2">
        <v>3977333714</v>
      </c>
      <c r="B436" s="3">
        <v>42489</v>
      </c>
      <c r="C436" t="str">
        <f t="shared" si="31"/>
        <v>Friday</v>
      </c>
      <c r="D436" t="str">
        <f t="shared" si="33"/>
        <v>Weekday</v>
      </c>
      <c r="E436" s="2">
        <v>10645</v>
      </c>
      <c r="F436" s="2">
        <v>7.75</v>
      </c>
      <c r="G436" s="2">
        <v>7.75</v>
      </c>
      <c r="H436" s="2">
        <v>0</v>
      </c>
      <c r="I436" s="2">
        <v>3.7400000100000002</v>
      </c>
      <c r="J436" s="2">
        <v>1.2999999520000001</v>
      </c>
      <c r="K436" s="2">
        <v>2.710000038</v>
      </c>
      <c r="L436" s="2">
        <v>0</v>
      </c>
      <c r="M436" s="2">
        <v>36</v>
      </c>
      <c r="N436" s="2">
        <v>32</v>
      </c>
      <c r="O436" s="2">
        <v>150</v>
      </c>
      <c r="P436" s="2">
        <v>744</v>
      </c>
      <c r="Q436" s="2">
        <f t="shared" si="32"/>
        <v>218</v>
      </c>
      <c r="R436" s="2">
        <f t="shared" si="30"/>
        <v>962</v>
      </c>
      <c r="S436" t="str">
        <f t="shared" si="34"/>
        <v>Highly Active</v>
      </c>
      <c r="T436" s="2">
        <v>1545</v>
      </c>
    </row>
    <row r="437" spans="1:20" x14ac:dyDescent="0.25">
      <c r="A437" s="2">
        <v>3977333714</v>
      </c>
      <c r="B437" s="3">
        <v>42490</v>
      </c>
      <c r="C437" t="str">
        <f t="shared" si="31"/>
        <v>Saturday</v>
      </c>
      <c r="D437" t="str">
        <f t="shared" si="33"/>
        <v>Weekend</v>
      </c>
      <c r="E437" s="2">
        <v>13238</v>
      </c>
      <c r="F437" s="2">
        <v>9.1999998089999995</v>
      </c>
      <c r="G437" s="2">
        <v>9.1999998089999995</v>
      </c>
      <c r="H437" s="2">
        <v>0</v>
      </c>
      <c r="I437" s="2">
        <v>3.6900000569999998</v>
      </c>
      <c r="J437" s="2">
        <v>2.0999999049999998</v>
      </c>
      <c r="K437" s="2">
        <v>3.4100000860000002</v>
      </c>
      <c r="L437" s="2">
        <v>0</v>
      </c>
      <c r="M437" s="2">
        <v>43</v>
      </c>
      <c r="N437" s="2">
        <v>52</v>
      </c>
      <c r="O437" s="2">
        <v>194</v>
      </c>
      <c r="P437" s="2">
        <v>687</v>
      </c>
      <c r="Q437" s="2">
        <f t="shared" si="32"/>
        <v>289</v>
      </c>
      <c r="R437" s="2">
        <f t="shared" ref="R437:R490" si="35">SUM(M437:P437)</f>
        <v>976</v>
      </c>
      <c r="S437" t="str">
        <f t="shared" si="34"/>
        <v>Highly Active</v>
      </c>
      <c r="T437" s="2">
        <v>1650</v>
      </c>
    </row>
    <row r="438" spans="1:20" x14ac:dyDescent="0.25">
      <c r="A438" s="2">
        <v>3977333714</v>
      </c>
      <c r="B438" s="3">
        <v>42491</v>
      </c>
      <c r="C438" t="str">
        <f t="shared" si="31"/>
        <v>Sunday</v>
      </c>
      <c r="D438" t="str">
        <f t="shared" si="33"/>
        <v>Weekend</v>
      </c>
      <c r="E438" s="2">
        <v>10414</v>
      </c>
      <c r="F438" s="2">
        <v>7.0700001720000003</v>
      </c>
      <c r="G438" s="2">
        <v>7.0700001720000003</v>
      </c>
      <c r="H438" s="2">
        <v>0</v>
      </c>
      <c r="I438" s="2">
        <v>2.670000076</v>
      </c>
      <c r="J438" s="2">
        <v>1.980000019</v>
      </c>
      <c r="K438" s="2">
        <v>2.4100000860000002</v>
      </c>
      <c r="L438" s="2">
        <v>0</v>
      </c>
      <c r="M438" s="2">
        <v>41</v>
      </c>
      <c r="N438" s="2">
        <v>40</v>
      </c>
      <c r="O438" s="2">
        <v>124</v>
      </c>
      <c r="P438" s="2">
        <v>691</v>
      </c>
      <c r="Q438" s="2">
        <f t="shared" si="32"/>
        <v>205</v>
      </c>
      <c r="R438" s="2">
        <f t="shared" si="35"/>
        <v>896</v>
      </c>
      <c r="S438" t="str">
        <f t="shared" si="34"/>
        <v>Highly Active</v>
      </c>
      <c r="T438" s="2">
        <v>1501</v>
      </c>
    </row>
    <row r="439" spans="1:20" x14ac:dyDescent="0.25">
      <c r="A439" s="2">
        <v>3977333714</v>
      </c>
      <c r="B439" s="3">
        <v>42492</v>
      </c>
      <c r="C439" t="str">
        <f t="shared" si="31"/>
        <v>Monday</v>
      </c>
      <c r="D439" t="str">
        <f t="shared" si="33"/>
        <v>Weekday</v>
      </c>
      <c r="E439" s="2">
        <v>16520</v>
      </c>
      <c r="F439" s="2">
        <v>11.05000019</v>
      </c>
      <c r="G439" s="2">
        <v>11.05000019</v>
      </c>
      <c r="H439" s="2">
        <v>0</v>
      </c>
      <c r="I439" s="2">
        <v>1.539999962</v>
      </c>
      <c r="J439" s="2">
        <v>6.4800000190000002</v>
      </c>
      <c r="K439" s="2">
        <v>3.0199999809999998</v>
      </c>
      <c r="L439" s="2">
        <v>0</v>
      </c>
      <c r="M439" s="2">
        <v>24</v>
      </c>
      <c r="N439" s="2">
        <v>143</v>
      </c>
      <c r="O439" s="2">
        <v>176</v>
      </c>
      <c r="P439" s="2">
        <v>713</v>
      </c>
      <c r="Q439" s="2">
        <f t="shared" si="32"/>
        <v>343</v>
      </c>
      <c r="R439" s="2">
        <f t="shared" si="35"/>
        <v>1056</v>
      </c>
      <c r="S439" t="str">
        <f t="shared" si="34"/>
        <v>Highly Active</v>
      </c>
      <c r="T439" s="2">
        <v>1760</v>
      </c>
    </row>
    <row r="440" spans="1:20" x14ac:dyDescent="0.25">
      <c r="A440" s="2">
        <v>3977333714</v>
      </c>
      <c r="B440" s="3">
        <v>42493</v>
      </c>
      <c r="C440" t="str">
        <f t="shared" ref="C440:C494" si="36">CHOOSE(WEEKDAY(B440), "Sunday", "Monday", "Tuesday", "Wednesday", "Thursday", "Friday", "Saturday")</f>
        <v>Tuesday</v>
      </c>
      <c r="D440" t="str">
        <f t="shared" si="33"/>
        <v>Weekday</v>
      </c>
      <c r="E440" s="2">
        <v>14335</v>
      </c>
      <c r="F440" s="2">
        <v>9.5900001530000001</v>
      </c>
      <c r="G440" s="2">
        <v>9.5900001530000001</v>
      </c>
      <c r="H440" s="2">
        <v>0</v>
      </c>
      <c r="I440" s="2">
        <v>3.3199999330000001</v>
      </c>
      <c r="J440" s="2">
        <v>1.7400000099999999</v>
      </c>
      <c r="K440" s="2">
        <v>4.5300002099999999</v>
      </c>
      <c r="L440" s="2">
        <v>0</v>
      </c>
      <c r="M440" s="2">
        <v>47</v>
      </c>
      <c r="N440" s="2">
        <v>41</v>
      </c>
      <c r="O440" s="2">
        <v>258</v>
      </c>
      <c r="P440" s="2">
        <v>594</v>
      </c>
      <c r="Q440" s="2">
        <f t="shared" ref="Q440:Q494" si="37">SUM(M440:O440)</f>
        <v>346</v>
      </c>
      <c r="R440" s="2">
        <f t="shared" si="35"/>
        <v>940</v>
      </c>
      <c r="S440" t="str">
        <f t="shared" si="34"/>
        <v>Highly Active</v>
      </c>
      <c r="T440" s="2">
        <v>1710</v>
      </c>
    </row>
    <row r="441" spans="1:20" x14ac:dyDescent="0.25">
      <c r="A441" s="2">
        <v>3977333714</v>
      </c>
      <c r="B441" s="3">
        <v>42494</v>
      </c>
      <c r="C441" t="str">
        <f t="shared" si="36"/>
        <v>Wednesday</v>
      </c>
      <c r="D441" t="str">
        <f t="shared" si="33"/>
        <v>Weekday</v>
      </c>
      <c r="E441" s="2">
        <v>13559</v>
      </c>
      <c r="F441" s="2">
        <v>9.4399995800000003</v>
      </c>
      <c r="G441" s="2">
        <v>9.4399995800000003</v>
      </c>
      <c r="H441" s="2">
        <v>0</v>
      </c>
      <c r="I441" s="2">
        <v>1.809999943</v>
      </c>
      <c r="J441" s="2">
        <v>4.579999924</v>
      </c>
      <c r="K441" s="2">
        <v>2.8900001049999999</v>
      </c>
      <c r="L441" s="2">
        <v>0</v>
      </c>
      <c r="M441" s="2">
        <v>14</v>
      </c>
      <c r="N441" s="2">
        <v>96</v>
      </c>
      <c r="O441" s="2">
        <v>142</v>
      </c>
      <c r="P441" s="2">
        <v>852</v>
      </c>
      <c r="Q441" s="2">
        <f t="shared" si="37"/>
        <v>252</v>
      </c>
      <c r="R441" s="2">
        <f t="shared" si="35"/>
        <v>1104</v>
      </c>
      <c r="S441" t="str">
        <f t="shared" si="34"/>
        <v>Highly Active</v>
      </c>
      <c r="T441" s="2">
        <v>1628</v>
      </c>
    </row>
    <row r="442" spans="1:20" x14ac:dyDescent="0.25">
      <c r="A442" s="2">
        <v>3977333714</v>
      </c>
      <c r="B442" s="3">
        <v>42495</v>
      </c>
      <c r="C442" t="str">
        <f t="shared" si="36"/>
        <v>Thursday</v>
      </c>
      <c r="D442" t="str">
        <f t="shared" si="33"/>
        <v>Weekday</v>
      </c>
      <c r="E442" s="2">
        <v>12312</v>
      </c>
      <c r="F442" s="2">
        <v>8.5799999239999991</v>
      </c>
      <c r="G442" s="2">
        <v>8.5799999239999991</v>
      </c>
      <c r="H442" s="2">
        <v>0</v>
      </c>
      <c r="I442" s="2">
        <v>1.7599999900000001</v>
      </c>
      <c r="J442" s="2">
        <v>4.1100001339999999</v>
      </c>
      <c r="K442" s="2">
        <v>2.710000038</v>
      </c>
      <c r="L442" s="2">
        <v>0</v>
      </c>
      <c r="M442" s="2">
        <v>14</v>
      </c>
      <c r="N442" s="2">
        <v>88</v>
      </c>
      <c r="O442" s="2">
        <v>178</v>
      </c>
      <c r="P442" s="2">
        <v>680</v>
      </c>
      <c r="Q442" s="2">
        <f t="shared" si="37"/>
        <v>280</v>
      </c>
      <c r="R442" s="2">
        <f t="shared" si="35"/>
        <v>960</v>
      </c>
      <c r="S442" t="str">
        <f t="shared" si="34"/>
        <v>Highly Active</v>
      </c>
      <c r="T442" s="2">
        <v>1618</v>
      </c>
    </row>
    <row r="443" spans="1:20" x14ac:dyDescent="0.25">
      <c r="A443" s="2">
        <v>3977333714</v>
      </c>
      <c r="B443" s="3">
        <v>42496</v>
      </c>
      <c r="C443" t="str">
        <f t="shared" si="36"/>
        <v>Friday</v>
      </c>
      <c r="D443" t="str">
        <f t="shared" si="33"/>
        <v>Weekday</v>
      </c>
      <c r="E443" s="2">
        <v>11677</v>
      </c>
      <c r="F443" s="2">
        <v>8.2799997330000004</v>
      </c>
      <c r="G443" s="2">
        <v>8.2799997330000004</v>
      </c>
      <c r="H443" s="2">
        <v>0</v>
      </c>
      <c r="I443" s="2">
        <v>3.1099998950000001</v>
      </c>
      <c r="J443" s="2">
        <v>2.5099999899999998</v>
      </c>
      <c r="K443" s="2">
        <v>2.670000076</v>
      </c>
      <c r="L443" s="2">
        <v>0</v>
      </c>
      <c r="M443" s="2">
        <v>29</v>
      </c>
      <c r="N443" s="2">
        <v>55</v>
      </c>
      <c r="O443" s="2">
        <v>168</v>
      </c>
      <c r="P443" s="2">
        <v>676</v>
      </c>
      <c r="Q443" s="2">
        <f t="shared" si="37"/>
        <v>252</v>
      </c>
      <c r="R443" s="2">
        <f t="shared" si="35"/>
        <v>928</v>
      </c>
      <c r="S443" t="str">
        <f t="shared" si="34"/>
        <v>Highly Active</v>
      </c>
      <c r="T443" s="2">
        <v>1590</v>
      </c>
    </row>
    <row r="444" spans="1:20" x14ac:dyDescent="0.25">
      <c r="A444" s="2">
        <v>3977333714</v>
      </c>
      <c r="B444" s="3">
        <v>42497</v>
      </c>
      <c r="C444" t="str">
        <f t="shared" si="36"/>
        <v>Saturday</v>
      </c>
      <c r="D444" t="str">
        <f t="shared" si="33"/>
        <v>Weekend</v>
      </c>
      <c r="E444" s="2">
        <v>11550</v>
      </c>
      <c r="F444" s="2">
        <v>7.7300000190000002</v>
      </c>
      <c r="G444" s="2">
        <v>7.7300000190000002</v>
      </c>
      <c r="H444" s="2">
        <v>0</v>
      </c>
      <c r="I444" s="2">
        <v>0</v>
      </c>
      <c r="J444" s="2">
        <v>4.1300001139999996</v>
      </c>
      <c r="K444" s="2">
        <v>3.5899999139999998</v>
      </c>
      <c r="L444" s="2">
        <v>0</v>
      </c>
      <c r="M444" s="2">
        <v>0</v>
      </c>
      <c r="N444" s="2">
        <v>86</v>
      </c>
      <c r="O444" s="2">
        <v>208</v>
      </c>
      <c r="P444" s="2">
        <v>703</v>
      </c>
      <c r="Q444" s="2">
        <f t="shared" si="37"/>
        <v>294</v>
      </c>
      <c r="R444" s="2">
        <f t="shared" si="35"/>
        <v>997</v>
      </c>
      <c r="S444" t="str">
        <f t="shared" si="34"/>
        <v>Highly Active</v>
      </c>
      <c r="T444" s="2">
        <v>1574</v>
      </c>
    </row>
    <row r="445" spans="1:20" x14ac:dyDescent="0.25">
      <c r="A445" s="2">
        <v>3977333714</v>
      </c>
      <c r="B445" s="3">
        <v>42498</v>
      </c>
      <c r="C445" t="str">
        <f t="shared" si="36"/>
        <v>Sunday</v>
      </c>
      <c r="D445" t="str">
        <f t="shared" si="33"/>
        <v>Weekend</v>
      </c>
      <c r="E445" s="2">
        <v>13585</v>
      </c>
      <c r="F445" s="2">
        <v>9.0900001530000001</v>
      </c>
      <c r="G445" s="2">
        <v>9.0900001530000001</v>
      </c>
      <c r="H445" s="2">
        <v>0</v>
      </c>
      <c r="I445" s="2">
        <v>0.68000000699999996</v>
      </c>
      <c r="J445" s="2">
        <v>5.2399997709999999</v>
      </c>
      <c r="K445" s="2">
        <v>3.170000076</v>
      </c>
      <c r="L445" s="2">
        <v>0</v>
      </c>
      <c r="M445" s="2">
        <v>9</v>
      </c>
      <c r="N445" s="2">
        <v>116</v>
      </c>
      <c r="O445" s="2">
        <v>171</v>
      </c>
      <c r="P445" s="2">
        <v>688</v>
      </c>
      <c r="Q445" s="2">
        <f t="shared" si="37"/>
        <v>296</v>
      </c>
      <c r="R445" s="2">
        <f t="shared" si="35"/>
        <v>984</v>
      </c>
      <c r="S445" t="str">
        <f t="shared" si="34"/>
        <v>Highly Active</v>
      </c>
      <c r="T445" s="2">
        <v>1633</v>
      </c>
    </row>
    <row r="446" spans="1:20" x14ac:dyDescent="0.25">
      <c r="A446" s="2">
        <v>3977333714</v>
      </c>
      <c r="B446" s="3">
        <v>42499</v>
      </c>
      <c r="C446" t="str">
        <f t="shared" si="36"/>
        <v>Monday</v>
      </c>
      <c r="D446" t="str">
        <f t="shared" si="33"/>
        <v>Weekday</v>
      </c>
      <c r="E446" s="2">
        <v>14687</v>
      </c>
      <c r="F446" s="2">
        <v>10.079999920000001</v>
      </c>
      <c r="G446" s="2">
        <v>10.079999920000001</v>
      </c>
      <c r="H446" s="2">
        <v>0</v>
      </c>
      <c r="I446" s="2">
        <v>0.769999981</v>
      </c>
      <c r="J446" s="2">
        <v>5.5999999049999998</v>
      </c>
      <c r="K446" s="2">
        <v>3.5499999519999998</v>
      </c>
      <c r="L446" s="2">
        <v>0</v>
      </c>
      <c r="M446" s="2">
        <v>8</v>
      </c>
      <c r="N446" s="2">
        <v>122</v>
      </c>
      <c r="O446" s="2">
        <v>151</v>
      </c>
      <c r="P446" s="2">
        <v>1159</v>
      </c>
      <c r="Q446" s="2">
        <f t="shared" si="37"/>
        <v>281</v>
      </c>
      <c r="R446" s="2">
        <f t="shared" si="35"/>
        <v>1440</v>
      </c>
      <c r="S446" t="str">
        <f t="shared" si="34"/>
        <v>Highly Active</v>
      </c>
      <c r="T446" s="2">
        <v>1667</v>
      </c>
    </row>
    <row r="447" spans="1:20" x14ac:dyDescent="0.25">
      <c r="A447" s="2">
        <v>3977333714</v>
      </c>
      <c r="B447" s="3">
        <v>42500</v>
      </c>
      <c r="C447" t="str">
        <f t="shared" si="36"/>
        <v>Tuesday</v>
      </c>
      <c r="D447" t="str">
        <f t="shared" si="33"/>
        <v>Weekday</v>
      </c>
      <c r="E447" s="2">
        <v>13072</v>
      </c>
      <c r="F447" s="2">
        <v>8.7799997330000004</v>
      </c>
      <c r="G447" s="2">
        <v>8.7799997330000004</v>
      </c>
      <c r="H447" s="2">
        <v>0</v>
      </c>
      <c r="I447" s="2">
        <v>7.0000000000000007E-2</v>
      </c>
      <c r="J447" s="2">
        <v>5.4000000950000002</v>
      </c>
      <c r="K447" s="2">
        <v>3.3099999430000002</v>
      </c>
      <c r="L447" s="2">
        <v>0</v>
      </c>
      <c r="M447" s="2">
        <v>1</v>
      </c>
      <c r="N447" s="2">
        <v>115</v>
      </c>
      <c r="O447" s="2">
        <v>196</v>
      </c>
      <c r="P447" s="2">
        <v>676</v>
      </c>
      <c r="Q447" s="2">
        <f t="shared" si="37"/>
        <v>312</v>
      </c>
      <c r="R447" s="2">
        <f t="shared" si="35"/>
        <v>988</v>
      </c>
      <c r="S447" t="str">
        <f t="shared" si="34"/>
        <v>Highly Active</v>
      </c>
      <c r="T447" s="2">
        <v>1630</v>
      </c>
    </row>
    <row r="448" spans="1:20" x14ac:dyDescent="0.25">
      <c r="A448" s="2">
        <v>4020332650</v>
      </c>
      <c r="B448" s="3">
        <v>42441</v>
      </c>
      <c r="C448" t="str">
        <f t="shared" si="36"/>
        <v>Saturday</v>
      </c>
      <c r="D448" t="str">
        <f t="shared" si="33"/>
        <v>Weekend</v>
      </c>
      <c r="E448" s="2">
        <v>5543</v>
      </c>
      <c r="F448" s="2">
        <v>3.9700000289999999</v>
      </c>
      <c r="G448" s="2">
        <v>3.9700000289999999</v>
      </c>
      <c r="H448" s="2">
        <v>0</v>
      </c>
      <c r="I448" s="2">
        <v>0</v>
      </c>
      <c r="J448" s="2">
        <v>0</v>
      </c>
      <c r="K448" s="2">
        <v>3.960000038</v>
      </c>
      <c r="L448" s="2">
        <v>0.01</v>
      </c>
      <c r="M448" s="2">
        <v>0</v>
      </c>
      <c r="N448" s="2">
        <v>0</v>
      </c>
      <c r="O448" s="2">
        <v>254</v>
      </c>
      <c r="P448" s="2">
        <v>757</v>
      </c>
      <c r="Q448" s="2">
        <f t="shared" si="37"/>
        <v>254</v>
      </c>
      <c r="R448" s="2">
        <f t="shared" si="35"/>
        <v>1011</v>
      </c>
      <c r="S448" t="str">
        <f t="shared" si="34"/>
        <v>Lightly Active</v>
      </c>
      <c r="T448" s="2">
        <v>2990</v>
      </c>
    </row>
    <row r="449" spans="1:20" x14ac:dyDescent="0.25">
      <c r="A449" s="2">
        <v>4020332650</v>
      </c>
      <c r="B449" s="3">
        <v>42442</v>
      </c>
      <c r="C449" t="str">
        <f t="shared" si="36"/>
        <v>Sunday</v>
      </c>
      <c r="D449" t="str">
        <f t="shared" si="33"/>
        <v>Weekend</v>
      </c>
      <c r="E449" s="2">
        <v>3226</v>
      </c>
      <c r="F449" s="2">
        <v>2.3099999430000002</v>
      </c>
      <c r="G449" s="2">
        <v>2.3099999430000002</v>
      </c>
      <c r="H449" s="2">
        <v>0</v>
      </c>
      <c r="I449" s="2">
        <v>0</v>
      </c>
      <c r="J449" s="2">
        <v>0</v>
      </c>
      <c r="K449" s="2">
        <v>2.2799999710000001</v>
      </c>
      <c r="L449" s="2">
        <v>0</v>
      </c>
      <c r="M449" s="2">
        <v>0</v>
      </c>
      <c r="N449" s="2">
        <v>0</v>
      </c>
      <c r="O449" s="2">
        <v>136</v>
      </c>
      <c r="P449" s="2">
        <v>771</v>
      </c>
      <c r="Q449" s="2">
        <f t="shared" si="37"/>
        <v>136</v>
      </c>
      <c r="R449" s="2">
        <f t="shared" si="35"/>
        <v>907</v>
      </c>
      <c r="S449" t="str">
        <f t="shared" si="34"/>
        <v>Sedentary</v>
      </c>
      <c r="T449" s="2">
        <v>2480</v>
      </c>
    </row>
    <row r="450" spans="1:20" x14ac:dyDescent="0.25">
      <c r="A450" s="2">
        <v>4020332650</v>
      </c>
      <c r="B450" s="3">
        <v>42443</v>
      </c>
      <c r="C450" t="str">
        <f t="shared" si="36"/>
        <v>Monday</v>
      </c>
      <c r="D450" t="str">
        <f t="shared" si="33"/>
        <v>Weekday</v>
      </c>
      <c r="E450" s="2">
        <v>3023</v>
      </c>
      <c r="F450" s="2">
        <v>2.170000076</v>
      </c>
      <c r="G450" s="2">
        <v>2.170000076</v>
      </c>
      <c r="H450" s="2">
        <v>0</v>
      </c>
      <c r="I450" s="2">
        <v>0</v>
      </c>
      <c r="J450" s="2">
        <v>0</v>
      </c>
      <c r="K450" s="2">
        <v>2.1400001049999999</v>
      </c>
      <c r="L450" s="2">
        <v>0</v>
      </c>
      <c r="M450" s="2">
        <v>0</v>
      </c>
      <c r="N450" s="2">
        <v>0</v>
      </c>
      <c r="O450" s="2">
        <v>145</v>
      </c>
      <c r="P450" s="2">
        <v>1005</v>
      </c>
      <c r="Q450" s="2">
        <f t="shared" si="37"/>
        <v>145</v>
      </c>
      <c r="R450" s="2">
        <f t="shared" si="35"/>
        <v>1150</v>
      </c>
      <c r="S450" t="str">
        <f t="shared" si="34"/>
        <v>Sedentary</v>
      </c>
      <c r="T450" s="2">
        <v>2570</v>
      </c>
    </row>
    <row r="451" spans="1:20" x14ac:dyDescent="0.25">
      <c r="A451" s="2">
        <v>4020332650</v>
      </c>
      <c r="B451" s="3">
        <v>42444</v>
      </c>
      <c r="C451" t="str">
        <f t="shared" si="36"/>
        <v>Tuesday</v>
      </c>
      <c r="D451" t="str">
        <f t="shared" ref="D451:D514" si="38">IF(OR(C451="Saturday", C451="Sunday"), "Weekend", "Weekday")</f>
        <v>Weekday</v>
      </c>
      <c r="E451" s="2">
        <v>5906</v>
      </c>
      <c r="F451" s="2">
        <v>4.2300000190000002</v>
      </c>
      <c r="G451" s="2">
        <v>4.2300000190000002</v>
      </c>
      <c r="H451" s="2">
        <v>0</v>
      </c>
      <c r="I451" s="2">
        <v>0</v>
      </c>
      <c r="J451" s="2">
        <v>0.15999999600000001</v>
      </c>
      <c r="K451" s="2">
        <v>4.0399999619999996</v>
      </c>
      <c r="L451" s="2">
        <v>0</v>
      </c>
      <c r="M451" s="2">
        <v>0</v>
      </c>
      <c r="N451" s="2">
        <v>10</v>
      </c>
      <c r="O451" s="2">
        <v>215</v>
      </c>
      <c r="P451" s="2">
        <v>874</v>
      </c>
      <c r="Q451" s="2">
        <f t="shared" si="37"/>
        <v>225</v>
      </c>
      <c r="R451" s="2">
        <f t="shared" si="35"/>
        <v>1099</v>
      </c>
      <c r="S451" t="str">
        <f t="shared" ref="S451:S514" si="39">IF(E451&lt;5000, "Sedentary", IF(E451&lt;7500, "Lightly Active", IF(E451&lt;10000, "Fairly Active", "Highly Active")))</f>
        <v>Lightly Active</v>
      </c>
      <c r="T451" s="2">
        <v>3016</v>
      </c>
    </row>
    <row r="452" spans="1:20" x14ac:dyDescent="0.25">
      <c r="A452" s="2">
        <v>4020332650</v>
      </c>
      <c r="B452" s="3">
        <v>42445</v>
      </c>
      <c r="C452" t="str">
        <f t="shared" si="36"/>
        <v>Wednesday</v>
      </c>
      <c r="D452" t="str">
        <f t="shared" si="38"/>
        <v>Weekday</v>
      </c>
      <c r="E452" s="2">
        <v>12483</v>
      </c>
      <c r="F452" s="2">
        <v>8.9899997710000008</v>
      </c>
      <c r="G452" s="2">
        <v>8.9899997710000008</v>
      </c>
      <c r="H452" s="2">
        <v>0</v>
      </c>
      <c r="I452" s="2">
        <v>1.4500000479999999</v>
      </c>
      <c r="J452" s="2">
        <v>0.56999999300000004</v>
      </c>
      <c r="K452" s="2">
        <v>6.9000000950000002</v>
      </c>
      <c r="L452" s="2">
        <v>0</v>
      </c>
      <c r="M452" s="2">
        <v>25</v>
      </c>
      <c r="N452" s="2">
        <v>14</v>
      </c>
      <c r="O452" s="2">
        <v>309</v>
      </c>
      <c r="P452" s="2">
        <v>599</v>
      </c>
      <c r="Q452" s="2">
        <f t="shared" si="37"/>
        <v>348</v>
      </c>
      <c r="R452" s="2">
        <f t="shared" si="35"/>
        <v>947</v>
      </c>
      <c r="S452" t="str">
        <f t="shared" si="39"/>
        <v>Highly Active</v>
      </c>
      <c r="T452" s="2">
        <v>3830</v>
      </c>
    </row>
    <row r="453" spans="1:20" x14ac:dyDescent="0.25">
      <c r="A453" s="2">
        <v>4020332650</v>
      </c>
      <c r="B453" s="3">
        <v>42446</v>
      </c>
      <c r="C453" t="str">
        <f t="shared" si="36"/>
        <v>Thursday</v>
      </c>
      <c r="D453" t="str">
        <f t="shared" si="38"/>
        <v>Weekday</v>
      </c>
      <c r="E453" s="2">
        <v>8940</v>
      </c>
      <c r="F453" s="2">
        <v>6.4099998469999999</v>
      </c>
      <c r="G453" s="2">
        <v>6.4099998469999999</v>
      </c>
      <c r="H453" s="2">
        <v>0</v>
      </c>
      <c r="I453" s="2">
        <v>0</v>
      </c>
      <c r="J453" s="2">
        <v>0</v>
      </c>
      <c r="K453" s="2">
        <v>0.61000001400000003</v>
      </c>
      <c r="L453" s="2">
        <v>3.9999999000000001E-2</v>
      </c>
      <c r="M453" s="2">
        <v>0</v>
      </c>
      <c r="N453" s="2">
        <v>0</v>
      </c>
      <c r="O453" s="2">
        <v>47</v>
      </c>
      <c r="P453" s="2">
        <v>986</v>
      </c>
      <c r="Q453" s="2">
        <f t="shared" si="37"/>
        <v>47</v>
      </c>
      <c r="R453" s="2">
        <f t="shared" si="35"/>
        <v>1033</v>
      </c>
      <c r="S453" t="str">
        <f t="shared" si="39"/>
        <v>Fairly Active</v>
      </c>
      <c r="T453" s="2">
        <v>3706</v>
      </c>
    </row>
    <row r="454" spans="1:20" x14ac:dyDescent="0.25">
      <c r="A454" s="2">
        <v>4020332650</v>
      </c>
      <c r="B454" s="3">
        <v>42457</v>
      </c>
      <c r="C454" t="str">
        <f t="shared" si="36"/>
        <v>Monday</v>
      </c>
      <c r="D454" t="str">
        <f t="shared" si="38"/>
        <v>Weekday</v>
      </c>
      <c r="E454" s="2">
        <v>2106</v>
      </c>
      <c r="F454" s="2">
        <v>1.5099999900000001</v>
      </c>
      <c r="G454" s="2">
        <v>1.5099999900000001</v>
      </c>
      <c r="H454" s="2">
        <v>0</v>
      </c>
      <c r="I454" s="2">
        <v>0.02</v>
      </c>
      <c r="J454" s="2">
        <v>5.0000001000000002E-2</v>
      </c>
      <c r="K454" s="2">
        <v>0.209999993</v>
      </c>
      <c r="L454" s="2">
        <v>0</v>
      </c>
      <c r="M454" s="2">
        <v>31</v>
      </c>
      <c r="N454" s="2">
        <v>45</v>
      </c>
      <c r="O454" s="2">
        <v>75</v>
      </c>
      <c r="P454" s="2">
        <v>1289</v>
      </c>
      <c r="Q454" s="2">
        <f t="shared" si="37"/>
        <v>151</v>
      </c>
      <c r="R454" s="2">
        <f t="shared" si="35"/>
        <v>1440</v>
      </c>
      <c r="S454" t="str">
        <f t="shared" si="39"/>
        <v>Sedentary</v>
      </c>
      <c r="T454" s="2">
        <v>4010</v>
      </c>
    </row>
    <row r="455" spans="1:20" x14ac:dyDescent="0.25">
      <c r="A455" s="2">
        <v>4020332650</v>
      </c>
      <c r="B455" s="3">
        <v>42458</v>
      </c>
      <c r="C455" t="str">
        <f t="shared" si="36"/>
        <v>Tuesday</v>
      </c>
      <c r="D455" t="str">
        <f t="shared" si="38"/>
        <v>Weekday</v>
      </c>
      <c r="E455" s="2">
        <v>4152</v>
      </c>
      <c r="F455" s="2">
        <v>2.9800000190000002</v>
      </c>
      <c r="G455" s="2">
        <v>2.9800000190000002</v>
      </c>
      <c r="H455" s="2">
        <v>0</v>
      </c>
      <c r="I455" s="2">
        <v>0</v>
      </c>
      <c r="J455" s="2">
        <v>0</v>
      </c>
      <c r="K455" s="2">
        <v>2.960000038</v>
      </c>
      <c r="L455" s="2">
        <v>0</v>
      </c>
      <c r="M455" s="2">
        <v>0</v>
      </c>
      <c r="N455" s="2">
        <v>0</v>
      </c>
      <c r="O455" s="2">
        <v>187</v>
      </c>
      <c r="P455" s="2">
        <v>1253</v>
      </c>
      <c r="Q455" s="2">
        <f t="shared" si="37"/>
        <v>187</v>
      </c>
      <c r="R455" s="2">
        <f t="shared" si="35"/>
        <v>1440</v>
      </c>
      <c r="S455" t="str">
        <f t="shared" si="39"/>
        <v>Sedentary</v>
      </c>
      <c r="T455" s="2">
        <v>2976</v>
      </c>
    </row>
    <row r="456" spans="1:20" x14ac:dyDescent="0.25">
      <c r="A456" s="2">
        <v>4020332650</v>
      </c>
      <c r="B456" s="3">
        <v>42459</v>
      </c>
      <c r="C456" t="str">
        <f t="shared" si="36"/>
        <v>Wednesday</v>
      </c>
      <c r="D456" t="str">
        <f t="shared" si="38"/>
        <v>Weekday</v>
      </c>
      <c r="E456" s="2">
        <v>5400</v>
      </c>
      <c r="F456" s="2">
        <v>3.869999886</v>
      </c>
      <c r="G456" s="2">
        <v>3.869999886</v>
      </c>
      <c r="H456" s="2">
        <v>0</v>
      </c>
      <c r="I456" s="2">
        <v>0</v>
      </c>
      <c r="J456" s="2">
        <v>0</v>
      </c>
      <c r="K456" s="2">
        <v>3.8499999049999998</v>
      </c>
      <c r="L456" s="2">
        <v>0</v>
      </c>
      <c r="M456" s="2">
        <v>0</v>
      </c>
      <c r="N456" s="2">
        <v>0</v>
      </c>
      <c r="O456" s="2">
        <v>258</v>
      </c>
      <c r="P456" s="2">
        <v>795</v>
      </c>
      <c r="Q456" s="2">
        <f t="shared" si="37"/>
        <v>258</v>
      </c>
      <c r="R456" s="2">
        <f t="shared" si="35"/>
        <v>1053</v>
      </c>
      <c r="S456" t="str">
        <f t="shared" si="39"/>
        <v>Lightly Active</v>
      </c>
      <c r="T456" s="2">
        <v>3418</v>
      </c>
    </row>
    <row r="457" spans="1:20" x14ac:dyDescent="0.25">
      <c r="A457" s="2">
        <v>4020332650</v>
      </c>
      <c r="B457" s="3">
        <v>42460</v>
      </c>
      <c r="C457" t="str">
        <f t="shared" si="36"/>
        <v>Thursday</v>
      </c>
      <c r="D457" t="str">
        <f t="shared" si="38"/>
        <v>Weekday</v>
      </c>
      <c r="E457" s="2">
        <v>7428</v>
      </c>
      <c r="F457" s="2">
        <v>5.329999924</v>
      </c>
      <c r="G457" s="2">
        <v>5.329999924</v>
      </c>
      <c r="H457" s="2">
        <v>0</v>
      </c>
      <c r="I457" s="2">
        <v>0.87000000499999997</v>
      </c>
      <c r="J457" s="2">
        <v>0.920000017</v>
      </c>
      <c r="K457" s="2">
        <v>3.5099999899999998</v>
      </c>
      <c r="L457" s="2">
        <v>0</v>
      </c>
      <c r="M457" s="2">
        <v>18</v>
      </c>
      <c r="N457" s="2">
        <v>33</v>
      </c>
      <c r="O457" s="2">
        <v>261</v>
      </c>
      <c r="P457" s="2">
        <v>860</v>
      </c>
      <c r="Q457" s="2">
        <f t="shared" si="37"/>
        <v>312</v>
      </c>
      <c r="R457" s="2">
        <f t="shared" si="35"/>
        <v>1172</v>
      </c>
      <c r="S457" t="str">
        <f t="shared" si="39"/>
        <v>Lightly Active</v>
      </c>
      <c r="T457" s="2">
        <v>3439</v>
      </c>
    </row>
    <row r="458" spans="1:20" x14ac:dyDescent="0.25">
      <c r="A458" s="2">
        <v>4020332650</v>
      </c>
      <c r="B458" s="3">
        <v>42461</v>
      </c>
      <c r="C458" t="str">
        <f t="shared" si="36"/>
        <v>Friday</v>
      </c>
      <c r="D458" t="str">
        <f t="shared" si="38"/>
        <v>Weekday</v>
      </c>
      <c r="E458" s="2">
        <v>5351</v>
      </c>
      <c r="F458" s="2">
        <v>3.8399999139999998</v>
      </c>
      <c r="G458" s="2">
        <v>3.8399999139999998</v>
      </c>
      <c r="H458" s="2">
        <v>0</v>
      </c>
      <c r="I458" s="2">
        <v>0.62000000499999997</v>
      </c>
      <c r="J458" s="2">
        <v>0.18000000699999999</v>
      </c>
      <c r="K458" s="2">
        <v>3.0099999899999998</v>
      </c>
      <c r="L458" s="2">
        <v>0</v>
      </c>
      <c r="M458" s="2">
        <v>15</v>
      </c>
      <c r="N458" s="2">
        <v>17</v>
      </c>
      <c r="O458" s="2">
        <v>210</v>
      </c>
      <c r="P458" s="2">
        <v>748</v>
      </c>
      <c r="Q458" s="2">
        <f t="shared" si="37"/>
        <v>242</v>
      </c>
      <c r="R458" s="2">
        <f t="shared" si="35"/>
        <v>990</v>
      </c>
      <c r="S458" t="str">
        <f t="shared" si="39"/>
        <v>Lightly Active</v>
      </c>
      <c r="T458" s="2">
        <v>3338</v>
      </c>
    </row>
    <row r="459" spans="1:20" x14ac:dyDescent="0.25">
      <c r="A459" s="2">
        <v>4020332650</v>
      </c>
      <c r="B459" s="3">
        <v>42462</v>
      </c>
      <c r="C459" t="str">
        <f t="shared" si="36"/>
        <v>Saturday</v>
      </c>
      <c r="D459" t="str">
        <f t="shared" si="38"/>
        <v>Weekend</v>
      </c>
      <c r="E459" s="2">
        <v>4299</v>
      </c>
      <c r="F459" s="2">
        <v>3.0999999049999998</v>
      </c>
      <c r="G459" s="2">
        <v>3.0999999049999998</v>
      </c>
      <c r="H459" s="2">
        <v>0</v>
      </c>
      <c r="I459" s="2">
        <v>9.0000003999999995E-2</v>
      </c>
      <c r="J459" s="2">
        <v>0.209999993</v>
      </c>
      <c r="K459" s="2">
        <v>2.7400000100000002</v>
      </c>
      <c r="L459" s="2">
        <v>3.9999999000000001E-2</v>
      </c>
      <c r="M459" s="2">
        <v>3</v>
      </c>
      <c r="N459" s="2">
        <v>15</v>
      </c>
      <c r="O459" s="2">
        <v>162</v>
      </c>
      <c r="P459" s="2">
        <v>752</v>
      </c>
      <c r="Q459" s="2">
        <f t="shared" si="37"/>
        <v>180</v>
      </c>
      <c r="R459" s="2">
        <f t="shared" si="35"/>
        <v>932</v>
      </c>
      <c r="S459" t="str">
        <f t="shared" si="39"/>
        <v>Sedentary</v>
      </c>
      <c r="T459" s="2">
        <v>2892</v>
      </c>
    </row>
    <row r="460" spans="1:20" x14ac:dyDescent="0.25">
      <c r="A460" s="2">
        <v>4020332650</v>
      </c>
      <c r="B460" s="3">
        <v>42463</v>
      </c>
      <c r="C460" t="str">
        <f t="shared" si="36"/>
        <v>Sunday</v>
      </c>
      <c r="D460" t="str">
        <f t="shared" si="38"/>
        <v>Weekend</v>
      </c>
      <c r="E460" s="2">
        <v>6107</v>
      </c>
      <c r="F460" s="2">
        <v>4.3800001139999996</v>
      </c>
      <c r="G460" s="2">
        <v>4.3800001139999996</v>
      </c>
      <c r="H460" s="2">
        <v>0</v>
      </c>
      <c r="I460" s="2">
        <v>0</v>
      </c>
      <c r="J460" s="2">
        <v>0</v>
      </c>
      <c r="K460" s="2">
        <v>4.3600001339999999</v>
      </c>
      <c r="L460" s="2">
        <v>0</v>
      </c>
      <c r="M460" s="2">
        <v>0</v>
      </c>
      <c r="N460" s="2">
        <v>0</v>
      </c>
      <c r="O460" s="2">
        <v>265</v>
      </c>
      <c r="P460" s="2">
        <v>776</v>
      </c>
      <c r="Q460" s="2">
        <f t="shared" si="37"/>
        <v>265</v>
      </c>
      <c r="R460" s="2">
        <f t="shared" si="35"/>
        <v>1041</v>
      </c>
      <c r="S460" t="str">
        <f t="shared" si="39"/>
        <v>Lightly Active</v>
      </c>
      <c r="T460" s="2">
        <v>3313</v>
      </c>
    </row>
    <row r="461" spans="1:20" x14ac:dyDescent="0.25">
      <c r="A461" s="2">
        <v>4020332650</v>
      </c>
      <c r="B461" s="3">
        <v>42464</v>
      </c>
      <c r="C461" t="str">
        <f t="shared" si="36"/>
        <v>Monday</v>
      </c>
      <c r="D461" t="str">
        <f t="shared" si="38"/>
        <v>Weekday</v>
      </c>
      <c r="E461" s="2">
        <v>6429</v>
      </c>
      <c r="F461" s="2">
        <v>4.5999999049999998</v>
      </c>
      <c r="G461" s="2">
        <v>4.5999999049999998</v>
      </c>
      <c r="H461" s="2">
        <v>0</v>
      </c>
      <c r="I461" s="2">
        <v>0</v>
      </c>
      <c r="J461" s="2">
        <v>0.94999998799999996</v>
      </c>
      <c r="K461" s="2">
        <v>3.6500000950000002</v>
      </c>
      <c r="L461" s="2">
        <v>0</v>
      </c>
      <c r="M461" s="2">
        <v>0</v>
      </c>
      <c r="N461" s="2">
        <v>28</v>
      </c>
      <c r="O461" s="2">
        <v>193</v>
      </c>
      <c r="P461" s="2">
        <v>741</v>
      </c>
      <c r="Q461" s="2">
        <f t="shared" si="37"/>
        <v>221</v>
      </c>
      <c r="R461" s="2">
        <f t="shared" si="35"/>
        <v>962</v>
      </c>
      <c r="S461" t="str">
        <f t="shared" si="39"/>
        <v>Lightly Active</v>
      </c>
      <c r="T461" s="2">
        <v>3118</v>
      </c>
    </row>
    <row r="462" spans="1:20" x14ac:dyDescent="0.25">
      <c r="A462" s="2">
        <v>4020332650</v>
      </c>
      <c r="B462" s="3">
        <v>42465</v>
      </c>
      <c r="C462" t="str">
        <f t="shared" si="36"/>
        <v>Tuesday</v>
      </c>
      <c r="D462" t="str">
        <f t="shared" si="38"/>
        <v>Weekday</v>
      </c>
      <c r="E462" s="2">
        <v>6880</v>
      </c>
      <c r="F462" s="2">
        <v>4.9299998279999997</v>
      </c>
      <c r="G462" s="2">
        <v>4.9299998279999997</v>
      </c>
      <c r="H462" s="2">
        <v>0</v>
      </c>
      <c r="I462" s="2">
        <v>0.5</v>
      </c>
      <c r="J462" s="2">
        <v>0.75999998999999996</v>
      </c>
      <c r="K462" s="2">
        <v>3.6500000950000002</v>
      </c>
      <c r="L462" s="2">
        <v>0</v>
      </c>
      <c r="M462" s="2">
        <v>7</v>
      </c>
      <c r="N462" s="2">
        <v>19</v>
      </c>
      <c r="O462" s="2">
        <v>165</v>
      </c>
      <c r="P462" s="2">
        <v>1249</v>
      </c>
      <c r="Q462" s="2">
        <f t="shared" si="37"/>
        <v>191</v>
      </c>
      <c r="R462" s="2">
        <f t="shared" si="35"/>
        <v>1440</v>
      </c>
      <c r="S462" t="str">
        <f t="shared" si="39"/>
        <v>Lightly Active</v>
      </c>
      <c r="T462" s="2">
        <v>2966</v>
      </c>
    </row>
    <row r="463" spans="1:20" x14ac:dyDescent="0.25">
      <c r="A463" s="2">
        <v>4020332650</v>
      </c>
      <c r="B463" s="3">
        <v>42466</v>
      </c>
      <c r="C463" t="str">
        <f t="shared" si="36"/>
        <v>Wednesday</v>
      </c>
      <c r="D463" t="str">
        <f t="shared" si="38"/>
        <v>Weekday</v>
      </c>
      <c r="E463" s="2">
        <v>7476</v>
      </c>
      <c r="F463" s="2">
        <v>5.3600001339999999</v>
      </c>
      <c r="G463" s="2">
        <v>5.3600001339999999</v>
      </c>
      <c r="H463" s="2">
        <v>0</v>
      </c>
      <c r="I463" s="2">
        <v>0</v>
      </c>
      <c r="J463" s="2">
        <v>0</v>
      </c>
      <c r="K463" s="2">
        <v>5.3099999430000002</v>
      </c>
      <c r="L463" s="2">
        <v>0</v>
      </c>
      <c r="M463" s="2">
        <v>0</v>
      </c>
      <c r="N463" s="2">
        <v>0</v>
      </c>
      <c r="O463" s="2">
        <v>263</v>
      </c>
      <c r="P463" s="2">
        <v>920</v>
      </c>
      <c r="Q463" s="2">
        <f t="shared" si="37"/>
        <v>263</v>
      </c>
      <c r="R463" s="2">
        <f t="shared" si="35"/>
        <v>1183</v>
      </c>
      <c r="S463" t="str">
        <f t="shared" si="39"/>
        <v>Lightly Active</v>
      </c>
      <c r="T463" s="2">
        <v>3253</v>
      </c>
    </row>
    <row r="464" spans="1:20" x14ac:dyDescent="0.25">
      <c r="A464" s="2">
        <v>4020332650</v>
      </c>
      <c r="B464" s="3">
        <v>42467</v>
      </c>
      <c r="C464" t="str">
        <f t="shared" si="36"/>
        <v>Thursday</v>
      </c>
      <c r="D464" t="str">
        <f t="shared" si="38"/>
        <v>Weekday</v>
      </c>
      <c r="E464" s="2">
        <v>6581</v>
      </c>
      <c r="F464" s="2">
        <v>4.7199997900000001</v>
      </c>
      <c r="G464" s="2">
        <v>4.7199997900000001</v>
      </c>
      <c r="H464" s="2">
        <v>0</v>
      </c>
      <c r="I464" s="2">
        <v>0</v>
      </c>
      <c r="J464" s="2">
        <v>0.28999999199999998</v>
      </c>
      <c r="K464" s="2">
        <v>4.3899998660000001</v>
      </c>
      <c r="L464" s="2">
        <v>0</v>
      </c>
      <c r="M464" s="2">
        <v>0</v>
      </c>
      <c r="N464" s="2">
        <v>8</v>
      </c>
      <c r="O464" s="2">
        <v>241</v>
      </c>
      <c r="P464" s="2">
        <v>1191</v>
      </c>
      <c r="Q464" s="2">
        <f t="shared" si="37"/>
        <v>249</v>
      </c>
      <c r="R464" s="2">
        <f t="shared" si="35"/>
        <v>1440</v>
      </c>
      <c r="S464" t="str">
        <f t="shared" si="39"/>
        <v>Lightly Active</v>
      </c>
      <c r="T464" s="2">
        <v>3032</v>
      </c>
    </row>
    <row r="465" spans="1:20" x14ac:dyDescent="0.25">
      <c r="A465" s="2">
        <v>4020332650</v>
      </c>
      <c r="B465" s="3">
        <v>42468</v>
      </c>
      <c r="C465" t="str">
        <f t="shared" si="36"/>
        <v>Friday</v>
      </c>
      <c r="D465" t="str">
        <f t="shared" si="38"/>
        <v>Weekday</v>
      </c>
      <c r="E465" s="2">
        <v>10480</v>
      </c>
      <c r="F465" s="2">
        <v>7.5100002290000001</v>
      </c>
      <c r="G465" s="2">
        <v>7.5100002290000001</v>
      </c>
      <c r="H465" s="2">
        <v>0</v>
      </c>
      <c r="I465" s="2">
        <v>0.40999999599999998</v>
      </c>
      <c r="J465" s="2">
        <v>1.4700000289999999</v>
      </c>
      <c r="K465" s="2">
        <v>5.0100002290000001</v>
      </c>
      <c r="L465" s="2">
        <v>3.9999999000000001E-2</v>
      </c>
      <c r="M465" s="2">
        <v>6</v>
      </c>
      <c r="N465" s="2">
        <v>37</v>
      </c>
      <c r="O465" s="2">
        <v>272</v>
      </c>
      <c r="P465" s="2">
        <v>1125</v>
      </c>
      <c r="Q465" s="2">
        <f t="shared" si="37"/>
        <v>315</v>
      </c>
      <c r="R465" s="2">
        <f t="shared" si="35"/>
        <v>1440</v>
      </c>
      <c r="S465" t="str">
        <f t="shared" si="39"/>
        <v>Highly Active</v>
      </c>
      <c r="T465" s="2">
        <v>4034</v>
      </c>
    </row>
    <row r="466" spans="1:20" x14ac:dyDescent="0.25">
      <c r="A466" s="2">
        <v>4020332650</v>
      </c>
      <c r="B466" s="3">
        <v>42469</v>
      </c>
      <c r="C466" t="str">
        <f t="shared" si="36"/>
        <v>Saturday</v>
      </c>
      <c r="D466" t="str">
        <f t="shared" si="38"/>
        <v>Weekend</v>
      </c>
      <c r="E466" s="2">
        <v>7734</v>
      </c>
      <c r="F466" s="2">
        <v>5.5500001909999996</v>
      </c>
      <c r="G466" s="2">
        <v>5.5500001909999996</v>
      </c>
      <c r="H466" s="2">
        <v>0</v>
      </c>
      <c r="I466" s="2">
        <v>1.1599999670000001</v>
      </c>
      <c r="J466" s="2">
        <v>0.49000000999999999</v>
      </c>
      <c r="K466" s="2">
        <v>3.8199999330000001</v>
      </c>
      <c r="L466" s="2">
        <v>5.9999998999999998E-2</v>
      </c>
      <c r="M466" s="2">
        <v>20</v>
      </c>
      <c r="N466" s="2">
        <v>12</v>
      </c>
      <c r="O466" s="2">
        <v>223</v>
      </c>
      <c r="P466" s="2">
        <v>1185</v>
      </c>
      <c r="Q466" s="2">
        <f t="shared" si="37"/>
        <v>255</v>
      </c>
      <c r="R466" s="2">
        <f t="shared" si="35"/>
        <v>1440</v>
      </c>
      <c r="S466" t="str">
        <f t="shared" si="39"/>
        <v>Fairly Active</v>
      </c>
      <c r="T466" s="2">
        <v>3264</v>
      </c>
    </row>
    <row r="467" spans="1:20" x14ac:dyDescent="0.25">
      <c r="A467" s="2">
        <v>4020332650</v>
      </c>
      <c r="B467" s="3">
        <v>42470</v>
      </c>
      <c r="C467" t="str">
        <f t="shared" si="36"/>
        <v>Sunday</v>
      </c>
      <c r="D467" t="str">
        <f t="shared" si="38"/>
        <v>Weekend</v>
      </c>
      <c r="E467" s="2">
        <v>5129</v>
      </c>
      <c r="F467" s="2">
        <v>3.6800000669999999</v>
      </c>
      <c r="G467" s="2">
        <v>3.6800000669999999</v>
      </c>
      <c r="H467" s="2">
        <v>0</v>
      </c>
      <c r="I467" s="2">
        <v>0.18000000699999999</v>
      </c>
      <c r="J467" s="2">
        <v>0.23999999499999999</v>
      </c>
      <c r="K467" s="2">
        <v>3.210000038</v>
      </c>
      <c r="L467" s="2">
        <v>0.01</v>
      </c>
      <c r="M467" s="2">
        <v>5</v>
      </c>
      <c r="N467" s="2">
        <v>7</v>
      </c>
      <c r="O467" s="2">
        <v>176</v>
      </c>
      <c r="P467" s="2">
        <v>1178</v>
      </c>
      <c r="Q467" s="2">
        <f t="shared" si="37"/>
        <v>188</v>
      </c>
      <c r="R467" s="2">
        <f t="shared" si="35"/>
        <v>1366</v>
      </c>
      <c r="S467" t="str">
        <f t="shared" si="39"/>
        <v>Lightly Active</v>
      </c>
      <c r="T467" s="2">
        <v>2817</v>
      </c>
    </row>
    <row r="468" spans="1:20" x14ac:dyDescent="0.25">
      <c r="A468" s="2">
        <v>4020332650</v>
      </c>
      <c r="B468" s="3">
        <v>42471</v>
      </c>
      <c r="C468" t="str">
        <f t="shared" si="36"/>
        <v>Monday</v>
      </c>
      <c r="D468" t="str">
        <f t="shared" si="38"/>
        <v>Weekday</v>
      </c>
      <c r="E468" s="2">
        <v>2993</v>
      </c>
      <c r="F468" s="2">
        <v>2.1500000950000002</v>
      </c>
      <c r="G468" s="2">
        <v>2.1500000950000002</v>
      </c>
      <c r="H468" s="2">
        <v>0</v>
      </c>
      <c r="I468" s="2">
        <v>0</v>
      </c>
      <c r="J468" s="2">
        <v>0</v>
      </c>
      <c r="K468" s="2">
        <v>2.0899999139999998</v>
      </c>
      <c r="L468" s="2">
        <v>0</v>
      </c>
      <c r="M468" s="2">
        <v>0</v>
      </c>
      <c r="N468" s="2">
        <v>0</v>
      </c>
      <c r="O468" s="2">
        <v>114</v>
      </c>
      <c r="P468" s="2">
        <v>888</v>
      </c>
      <c r="Q468" s="2">
        <f t="shared" si="37"/>
        <v>114</v>
      </c>
      <c r="R468" s="2">
        <f t="shared" si="35"/>
        <v>1002</v>
      </c>
      <c r="S468" t="str">
        <f t="shared" si="39"/>
        <v>Sedentary</v>
      </c>
      <c r="T468" s="2">
        <v>2507</v>
      </c>
    </row>
    <row r="469" spans="1:20" x14ac:dyDescent="0.25">
      <c r="A469" s="2">
        <v>4020332650</v>
      </c>
      <c r="B469" s="3">
        <v>42475</v>
      </c>
      <c r="C469" t="str">
        <f t="shared" si="36"/>
        <v>Friday</v>
      </c>
      <c r="D469" t="str">
        <f t="shared" si="38"/>
        <v>Weekday</v>
      </c>
      <c r="E469" s="2">
        <v>1882</v>
      </c>
      <c r="F469" s="2">
        <v>1.3500000240000001</v>
      </c>
      <c r="G469" s="2">
        <v>1.3500000240000001</v>
      </c>
      <c r="H469" s="2">
        <v>0</v>
      </c>
      <c r="I469" s="2">
        <v>0.209999993</v>
      </c>
      <c r="J469" s="2">
        <v>0.36000001399999998</v>
      </c>
      <c r="K469" s="2">
        <v>0.769999981</v>
      </c>
      <c r="L469" s="2">
        <v>0</v>
      </c>
      <c r="M469" s="2">
        <v>36</v>
      </c>
      <c r="N469" s="2">
        <v>18</v>
      </c>
      <c r="O469" s="2">
        <v>87</v>
      </c>
      <c r="P469" s="2">
        <v>1299</v>
      </c>
      <c r="Q469" s="2">
        <f t="shared" si="37"/>
        <v>141</v>
      </c>
      <c r="R469" s="2">
        <f t="shared" si="35"/>
        <v>1440</v>
      </c>
      <c r="S469" t="str">
        <f t="shared" si="39"/>
        <v>Sedentary</v>
      </c>
      <c r="T469" s="2">
        <v>2951</v>
      </c>
    </row>
    <row r="470" spans="1:20" x14ac:dyDescent="0.25">
      <c r="A470" s="2">
        <v>4020332650</v>
      </c>
      <c r="B470" s="3">
        <v>42476</v>
      </c>
      <c r="C470" t="str">
        <f t="shared" si="36"/>
        <v>Saturday</v>
      </c>
      <c r="D470" t="str">
        <f t="shared" si="38"/>
        <v>Weekend</v>
      </c>
      <c r="E470" s="2">
        <v>1982</v>
      </c>
      <c r="F470" s="2">
        <v>1.4199999569999999</v>
      </c>
      <c r="G470" s="2">
        <v>1.4199999569999999</v>
      </c>
      <c r="H470" s="2">
        <v>0</v>
      </c>
      <c r="I470" s="2">
        <v>0.44999998800000002</v>
      </c>
      <c r="J470" s="2">
        <v>0.37000000500000002</v>
      </c>
      <c r="K470" s="2">
        <v>0.58999997400000004</v>
      </c>
      <c r="L470" s="2">
        <v>0</v>
      </c>
      <c r="M470" s="2">
        <v>65</v>
      </c>
      <c r="N470" s="2">
        <v>21</v>
      </c>
      <c r="O470" s="2">
        <v>55</v>
      </c>
      <c r="P470" s="2">
        <v>1222</v>
      </c>
      <c r="Q470" s="2">
        <f t="shared" si="37"/>
        <v>141</v>
      </c>
      <c r="R470" s="2">
        <f t="shared" si="35"/>
        <v>1363</v>
      </c>
      <c r="S470" t="str">
        <f t="shared" si="39"/>
        <v>Sedentary</v>
      </c>
      <c r="T470" s="2">
        <v>3051</v>
      </c>
    </row>
    <row r="471" spans="1:20" x14ac:dyDescent="0.25">
      <c r="A471" s="2">
        <v>4020332650</v>
      </c>
      <c r="B471" s="3">
        <v>42492</v>
      </c>
      <c r="C471" t="str">
        <f t="shared" si="36"/>
        <v>Monday</v>
      </c>
      <c r="D471" t="str">
        <f t="shared" si="38"/>
        <v>Weekday</v>
      </c>
      <c r="E471" s="2">
        <v>475</v>
      </c>
      <c r="F471" s="2">
        <v>0.34000000400000002</v>
      </c>
      <c r="G471" s="2">
        <v>0.34000000400000002</v>
      </c>
      <c r="H471" s="2">
        <v>0</v>
      </c>
      <c r="I471" s="2">
        <v>0</v>
      </c>
      <c r="J471" s="2">
        <v>3.9999999000000001E-2</v>
      </c>
      <c r="K471" s="2">
        <v>0.28999999199999998</v>
      </c>
      <c r="L471" s="2">
        <v>0</v>
      </c>
      <c r="M471" s="2">
        <v>0</v>
      </c>
      <c r="N471" s="2">
        <v>11</v>
      </c>
      <c r="O471" s="2">
        <v>31</v>
      </c>
      <c r="P471" s="2">
        <v>1350</v>
      </c>
      <c r="Q471" s="2">
        <f t="shared" si="37"/>
        <v>42</v>
      </c>
      <c r="R471" s="2">
        <f t="shared" si="35"/>
        <v>1392</v>
      </c>
      <c r="S471" t="str">
        <f t="shared" si="39"/>
        <v>Sedentary</v>
      </c>
      <c r="T471" s="2">
        <v>2207</v>
      </c>
    </row>
    <row r="472" spans="1:20" x14ac:dyDescent="0.25">
      <c r="A472" s="2">
        <v>4020332650</v>
      </c>
      <c r="B472" s="3">
        <v>42493</v>
      </c>
      <c r="C472" t="str">
        <f t="shared" si="36"/>
        <v>Tuesday</v>
      </c>
      <c r="D472" t="str">
        <f t="shared" si="38"/>
        <v>Weekday</v>
      </c>
      <c r="E472" s="2">
        <v>4496</v>
      </c>
      <c r="F472" s="2">
        <v>3.2200000289999999</v>
      </c>
      <c r="G472" s="2">
        <v>3.2200000289999999</v>
      </c>
      <c r="H472" s="2">
        <v>0</v>
      </c>
      <c r="I472" s="2">
        <v>0</v>
      </c>
      <c r="J472" s="2">
        <v>0</v>
      </c>
      <c r="K472" s="2">
        <v>3.1500000950000002</v>
      </c>
      <c r="L472" s="2">
        <v>5.0000001000000002E-2</v>
      </c>
      <c r="M472" s="2">
        <v>0</v>
      </c>
      <c r="N472" s="2">
        <v>0</v>
      </c>
      <c r="O472" s="2">
        <v>174</v>
      </c>
      <c r="P472" s="2">
        <v>950</v>
      </c>
      <c r="Q472" s="2">
        <f t="shared" si="37"/>
        <v>174</v>
      </c>
      <c r="R472" s="2">
        <f t="shared" si="35"/>
        <v>1124</v>
      </c>
      <c r="S472" t="str">
        <f t="shared" si="39"/>
        <v>Sedentary</v>
      </c>
      <c r="T472" s="2">
        <v>2828</v>
      </c>
    </row>
    <row r="473" spans="1:20" x14ac:dyDescent="0.25">
      <c r="A473" s="2">
        <v>4020332650</v>
      </c>
      <c r="B473" s="3">
        <v>42494</v>
      </c>
      <c r="C473" t="str">
        <f t="shared" si="36"/>
        <v>Wednesday</v>
      </c>
      <c r="D473" t="str">
        <f t="shared" si="38"/>
        <v>Weekday</v>
      </c>
      <c r="E473" s="2">
        <v>10252</v>
      </c>
      <c r="F473" s="2">
        <v>7.3499999049999998</v>
      </c>
      <c r="G473" s="2">
        <v>7.3499999049999998</v>
      </c>
      <c r="H473" s="2">
        <v>0</v>
      </c>
      <c r="I473" s="2">
        <v>0.670000017</v>
      </c>
      <c r="J473" s="2">
        <v>1.039999962</v>
      </c>
      <c r="K473" s="2">
        <v>5.579999924</v>
      </c>
      <c r="L473" s="2">
        <v>0</v>
      </c>
      <c r="M473" s="2">
        <v>13</v>
      </c>
      <c r="N473" s="2">
        <v>46</v>
      </c>
      <c r="O473" s="2">
        <v>346</v>
      </c>
      <c r="P473" s="2">
        <v>531</v>
      </c>
      <c r="Q473" s="2">
        <f t="shared" si="37"/>
        <v>405</v>
      </c>
      <c r="R473" s="2">
        <f t="shared" si="35"/>
        <v>936</v>
      </c>
      <c r="S473" t="str">
        <f t="shared" si="39"/>
        <v>Highly Active</v>
      </c>
      <c r="T473" s="2">
        <v>3879</v>
      </c>
    </row>
    <row r="474" spans="1:20" x14ac:dyDescent="0.25">
      <c r="A474" s="2">
        <v>4020332650</v>
      </c>
      <c r="B474" s="3">
        <v>42495</v>
      </c>
      <c r="C474" t="str">
        <f t="shared" si="36"/>
        <v>Thursday</v>
      </c>
      <c r="D474" t="str">
        <f t="shared" si="38"/>
        <v>Weekday</v>
      </c>
      <c r="E474" s="2">
        <v>11728</v>
      </c>
      <c r="F474" s="2">
        <v>8.4300003050000001</v>
      </c>
      <c r="G474" s="2">
        <v>8.4300003050000001</v>
      </c>
      <c r="H474" s="2">
        <v>0</v>
      </c>
      <c r="I474" s="2">
        <v>2.619999886</v>
      </c>
      <c r="J474" s="2">
        <v>1.6799999480000001</v>
      </c>
      <c r="K474" s="2">
        <v>4.0399999619999996</v>
      </c>
      <c r="L474" s="2">
        <v>7.0000000000000007E-2</v>
      </c>
      <c r="M474" s="2">
        <v>38</v>
      </c>
      <c r="N474" s="2">
        <v>42</v>
      </c>
      <c r="O474" s="2">
        <v>196</v>
      </c>
      <c r="P474" s="2">
        <v>916</v>
      </c>
      <c r="Q474" s="2">
        <f t="shared" si="37"/>
        <v>276</v>
      </c>
      <c r="R474" s="2">
        <f t="shared" si="35"/>
        <v>1192</v>
      </c>
      <c r="S474" t="str">
        <f t="shared" si="39"/>
        <v>Highly Active</v>
      </c>
      <c r="T474" s="2">
        <v>3429</v>
      </c>
    </row>
    <row r="475" spans="1:20" x14ac:dyDescent="0.25">
      <c r="A475" s="2">
        <v>4020332650</v>
      </c>
      <c r="B475" s="3">
        <v>42496</v>
      </c>
      <c r="C475" t="str">
        <f t="shared" si="36"/>
        <v>Friday</v>
      </c>
      <c r="D475" t="str">
        <f t="shared" si="38"/>
        <v>Weekday</v>
      </c>
      <c r="E475" s="2">
        <v>4369</v>
      </c>
      <c r="F475" s="2">
        <v>3.130000114</v>
      </c>
      <c r="G475" s="2">
        <v>3.130000114</v>
      </c>
      <c r="H475" s="2">
        <v>0</v>
      </c>
      <c r="I475" s="2">
        <v>0</v>
      </c>
      <c r="J475" s="2">
        <v>0</v>
      </c>
      <c r="K475" s="2">
        <v>3.0999999049999998</v>
      </c>
      <c r="L475" s="2">
        <v>0.01</v>
      </c>
      <c r="M475" s="2">
        <v>0</v>
      </c>
      <c r="N475" s="2">
        <v>0</v>
      </c>
      <c r="O475" s="2">
        <v>177</v>
      </c>
      <c r="P475" s="2">
        <v>855</v>
      </c>
      <c r="Q475" s="2">
        <f t="shared" si="37"/>
        <v>177</v>
      </c>
      <c r="R475" s="2">
        <f t="shared" si="35"/>
        <v>1032</v>
      </c>
      <c r="S475" t="str">
        <f t="shared" si="39"/>
        <v>Sedentary</v>
      </c>
      <c r="T475" s="2">
        <v>2704</v>
      </c>
    </row>
    <row r="476" spans="1:20" x14ac:dyDescent="0.25">
      <c r="A476" s="2">
        <v>4020332650</v>
      </c>
      <c r="B476" s="3">
        <v>42497</v>
      </c>
      <c r="C476" t="str">
        <f t="shared" si="36"/>
        <v>Saturday</v>
      </c>
      <c r="D476" t="str">
        <f t="shared" si="38"/>
        <v>Weekend</v>
      </c>
      <c r="E476" s="2">
        <v>6132</v>
      </c>
      <c r="F476" s="2">
        <v>4.4000000950000002</v>
      </c>
      <c r="G476" s="2">
        <v>4.4000000950000002</v>
      </c>
      <c r="H476" s="2">
        <v>0</v>
      </c>
      <c r="I476" s="2">
        <v>0</v>
      </c>
      <c r="J476" s="2">
        <v>0</v>
      </c>
      <c r="K476" s="2">
        <v>3.579999924</v>
      </c>
      <c r="L476" s="2">
        <v>0</v>
      </c>
      <c r="M476" s="2">
        <v>0</v>
      </c>
      <c r="N476" s="2">
        <v>0</v>
      </c>
      <c r="O476" s="2">
        <v>184</v>
      </c>
      <c r="P476" s="2">
        <v>1256</v>
      </c>
      <c r="Q476" s="2">
        <f t="shared" si="37"/>
        <v>184</v>
      </c>
      <c r="R476" s="2">
        <f t="shared" si="35"/>
        <v>1440</v>
      </c>
      <c r="S476" t="str">
        <f t="shared" si="39"/>
        <v>Lightly Active</v>
      </c>
      <c r="T476" s="2">
        <v>2975</v>
      </c>
    </row>
    <row r="477" spans="1:20" x14ac:dyDescent="0.25">
      <c r="A477" s="2">
        <v>4020332650</v>
      </c>
      <c r="B477" s="3">
        <v>42498</v>
      </c>
      <c r="C477" t="str">
        <f t="shared" si="36"/>
        <v>Sunday</v>
      </c>
      <c r="D477" t="str">
        <f t="shared" si="38"/>
        <v>Weekend</v>
      </c>
      <c r="E477" s="2">
        <v>5862</v>
      </c>
      <c r="F477" s="2">
        <v>4.1999998090000004</v>
      </c>
      <c r="G477" s="2">
        <v>4.1999998090000004</v>
      </c>
      <c r="H477" s="2">
        <v>0</v>
      </c>
      <c r="I477" s="2">
        <v>0</v>
      </c>
      <c r="J477" s="2">
        <v>0</v>
      </c>
      <c r="K477" s="2">
        <v>4.1500000950000002</v>
      </c>
      <c r="L477" s="2">
        <v>0</v>
      </c>
      <c r="M477" s="2">
        <v>0</v>
      </c>
      <c r="N477" s="2">
        <v>0</v>
      </c>
      <c r="O477" s="2">
        <v>263</v>
      </c>
      <c r="P477" s="2">
        <v>775</v>
      </c>
      <c r="Q477" s="2">
        <f t="shared" si="37"/>
        <v>263</v>
      </c>
      <c r="R477" s="2">
        <f t="shared" si="35"/>
        <v>1038</v>
      </c>
      <c r="S477" t="str">
        <f t="shared" si="39"/>
        <v>Lightly Active</v>
      </c>
      <c r="T477" s="2">
        <v>3089</v>
      </c>
    </row>
    <row r="478" spans="1:20" x14ac:dyDescent="0.25">
      <c r="A478" s="2">
        <v>4020332650</v>
      </c>
      <c r="B478" s="3">
        <v>42499</v>
      </c>
      <c r="C478" t="str">
        <f t="shared" si="36"/>
        <v>Monday</v>
      </c>
      <c r="D478" t="str">
        <f t="shared" si="38"/>
        <v>Weekday</v>
      </c>
      <c r="E478" s="2">
        <v>4556</v>
      </c>
      <c r="F478" s="2">
        <v>3.2699999809999998</v>
      </c>
      <c r="G478" s="2">
        <v>3.2699999809999998</v>
      </c>
      <c r="H478" s="2">
        <v>0</v>
      </c>
      <c r="I478" s="2">
        <v>0.20000000300000001</v>
      </c>
      <c r="J478" s="2">
        <v>0.119999997</v>
      </c>
      <c r="K478" s="2">
        <v>2.9400000569999998</v>
      </c>
      <c r="L478" s="2">
        <v>0</v>
      </c>
      <c r="M478" s="2">
        <v>3</v>
      </c>
      <c r="N478" s="2">
        <v>5</v>
      </c>
      <c r="O478" s="2">
        <v>173</v>
      </c>
      <c r="P478" s="2">
        <v>1225</v>
      </c>
      <c r="Q478" s="2">
        <f t="shared" si="37"/>
        <v>181</v>
      </c>
      <c r="R478" s="2">
        <f t="shared" si="35"/>
        <v>1406</v>
      </c>
      <c r="S478" t="str">
        <f t="shared" si="39"/>
        <v>Sedentary</v>
      </c>
      <c r="T478" s="2">
        <v>2785</v>
      </c>
    </row>
    <row r="479" spans="1:20" x14ac:dyDescent="0.25">
      <c r="A479" s="2">
        <v>4020332650</v>
      </c>
      <c r="B479" s="3">
        <v>42500</v>
      </c>
      <c r="C479" t="str">
        <f t="shared" si="36"/>
        <v>Tuesday</v>
      </c>
      <c r="D479" t="str">
        <f t="shared" si="38"/>
        <v>Weekday</v>
      </c>
      <c r="E479" s="2">
        <v>5546</v>
      </c>
      <c r="F479" s="2">
        <v>3.9800000190000002</v>
      </c>
      <c r="G479" s="2">
        <v>3.9800000190000002</v>
      </c>
      <c r="H479" s="2">
        <v>0</v>
      </c>
      <c r="I479" s="2">
        <v>0</v>
      </c>
      <c r="J479" s="2">
        <v>0</v>
      </c>
      <c r="K479" s="2">
        <v>3.869999886</v>
      </c>
      <c r="L479" s="2">
        <v>3.9999999000000001E-2</v>
      </c>
      <c r="M479" s="2">
        <v>0</v>
      </c>
      <c r="N479" s="2">
        <v>0</v>
      </c>
      <c r="O479" s="2">
        <v>206</v>
      </c>
      <c r="P479" s="2">
        <v>774</v>
      </c>
      <c r="Q479" s="2">
        <f t="shared" si="37"/>
        <v>206</v>
      </c>
      <c r="R479" s="2">
        <f t="shared" si="35"/>
        <v>980</v>
      </c>
      <c r="S479" t="str">
        <f t="shared" si="39"/>
        <v>Lightly Active</v>
      </c>
      <c r="T479" s="2">
        <v>2926</v>
      </c>
    </row>
    <row r="480" spans="1:20" x14ac:dyDescent="0.25">
      <c r="A480" s="2">
        <v>4020332650</v>
      </c>
      <c r="B480" s="3">
        <v>42501</v>
      </c>
      <c r="C480" t="str">
        <f t="shared" si="36"/>
        <v>Wednesday</v>
      </c>
      <c r="D480" t="str">
        <f t="shared" si="38"/>
        <v>Weekday</v>
      </c>
      <c r="E480" s="2">
        <v>3689</v>
      </c>
      <c r="F480" s="2">
        <v>2.6500000950000002</v>
      </c>
      <c r="G480" s="2">
        <v>2.6500000950000002</v>
      </c>
      <c r="H480" s="2">
        <v>0</v>
      </c>
      <c r="I480" s="2">
        <v>0.109999999</v>
      </c>
      <c r="J480" s="2">
        <v>0.17000000200000001</v>
      </c>
      <c r="K480" s="2">
        <v>2.329999924</v>
      </c>
      <c r="L480" s="2">
        <v>0</v>
      </c>
      <c r="M480" s="2">
        <v>2</v>
      </c>
      <c r="N480" s="2">
        <v>8</v>
      </c>
      <c r="O480" s="2">
        <v>134</v>
      </c>
      <c r="P480" s="2">
        <v>1296</v>
      </c>
      <c r="Q480" s="2">
        <f t="shared" si="37"/>
        <v>144</v>
      </c>
      <c r="R480" s="2">
        <f t="shared" si="35"/>
        <v>1440</v>
      </c>
      <c r="S480" t="str">
        <f t="shared" si="39"/>
        <v>Sedentary</v>
      </c>
      <c r="T480" s="2">
        <v>2645</v>
      </c>
    </row>
    <row r="481" spans="1:20" x14ac:dyDescent="0.25">
      <c r="A481" s="2">
        <v>4020332650</v>
      </c>
      <c r="B481" s="3">
        <v>42502</v>
      </c>
      <c r="C481" t="str">
        <f t="shared" si="36"/>
        <v>Thursday</v>
      </c>
      <c r="D481" t="str">
        <f t="shared" si="38"/>
        <v>Weekday</v>
      </c>
      <c r="E481" s="2">
        <v>590</v>
      </c>
      <c r="F481" s="2">
        <v>0.41999998700000002</v>
      </c>
      <c r="G481" s="2">
        <v>0.41999998700000002</v>
      </c>
      <c r="H481" s="2">
        <v>0</v>
      </c>
      <c r="I481" s="2">
        <v>0</v>
      </c>
      <c r="J481" s="2">
        <v>0</v>
      </c>
      <c r="K481" s="2">
        <v>0.40999999599999998</v>
      </c>
      <c r="L481" s="2">
        <v>0</v>
      </c>
      <c r="M481" s="2">
        <v>0</v>
      </c>
      <c r="N481" s="2">
        <v>0</v>
      </c>
      <c r="O481" s="2">
        <v>21</v>
      </c>
      <c r="P481" s="2">
        <v>721</v>
      </c>
      <c r="Q481" s="2">
        <f t="shared" si="37"/>
        <v>21</v>
      </c>
      <c r="R481" s="2">
        <f t="shared" si="35"/>
        <v>742</v>
      </c>
      <c r="S481" t="str">
        <f t="shared" si="39"/>
        <v>Sedentary</v>
      </c>
      <c r="T481" s="2">
        <v>1120</v>
      </c>
    </row>
    <row r="482" spans="1:20" x14ac:dyDescent="0.25">
      <c r="A482" s="2">
        <v>4057192912</v>
      </c>
      <c r="B482" s="3">
        <v>42443</v>
      </c>
      <c r="C482" t="str">
        <f t="shared" si="36"/>
        <v>Monday</v>
      </c>
      <c r="D482" t="str">
        <f t="shared" si="38"/>
        <v>Weekday</v>
      </c>
      <c r="E482" s="2">
        <v>8433</v>
      </c>
      <c r="F482" s="2">
        <v>6.2300000190000002</v>
      </c>
      <c r="G482" s="2">
        <v>6.2300000190000002</v>
      </c>
      <c r="H482" s="2">
        <v>0</v>
      </c>
      <c r="I482" s="2">
        <v>2.4500000480000002</v>
      </c>
      <c r="J482" s="2">
        <v>0.33000001299999998</v>
      </c>
      <c r="K482" s="2">
        <v>3.4400000569999998</v>
      </c>
      <c r="L482" s="2">
        <v>0</v>
      </c>
      <c r="M482" s="2">
        <v>30</v>
      </c>
      <c r="N482" s="2">
        <v>7</v>
      </c>
      <c r="O482" s="2">
        <v>135</v>
      </c>
      <c r="P482" s="2">
        <v>1268</v>
      </c>
      <c r="Q482" s="2">
        <f t="shared" si="37"/>
        <v>172</v>
      </c>
      <c r="R482" s="2">
        <f t="shared" si="35"/>
        <v>1440</v>
      </c>
      <c r="S482" t="str">
        <f t="shared" si="39"/>
        <v>Fairly Active</v>
      </c>
      <c r="T482" s="2">
        <v>2453</v>
      </c>
    </row>
    <row r="483" spans="1:20" x14ac:dyDescent="0.25">
      <c r="A483" s="2">
        <v>4057192912</v>
      </c>
      <c r="B483" s="3">
        <v>42445</v>
      </c>
      <c r="C483" t="str">
        <f t="shared" si="36"/>
        <v>Wednesday</v>
      </c>
      <c r="D483" t="str">
        <f t="shared" si="38"/>
        <v>Weekday</v>
      </c>
      <c r="E483" s="2">
        <v>2139</v>
      </c>
      <c r="F483" s="2">
        <v>1.559999943</v>
      </c>
      <c r="G483" s="2">
        <v>1.559999943</v>
      </c>
      <c r="H483" s="2">
        <v>0</v>
      </c>
      <c r="I483" s="2">
        <v>0</v>
      </c>
      <c r="J483" s="2">
        <v>1.2999999520000001</v>
      </c>
      <c r="K483" s="2">
        <v>0.25999999000000001</v>
      </c>
      <c r="L483" s="2">
        <v>0</v>
      </c>
      <c r="M483" s="2">
        <v>0</v>
      </c>
      <c r="N483" s="2">
        <v>28</v>
      </c>
      <c r="O483" s="2">
        <v>15</v>
      </c>
      <c r="P483" s="2">
        <v>1397</v>
      </c>
      <c r="Q483" s="2">
        <f t="shared" si="37"/>
        <v>43</v>
      </c>
      <c r="R483" s="2">
        <f t="shared" si="35"/>
        <v>1440</v>
      </c>
      <c r="S483" t="str">
        <f t="shared" si="39"/>
        <v>Sedentary</v>
      </c>
      <c r="T483" s="2">
        <v>1935</v>
      </c>
    </row>
    <row r="484" spans="1:20" x14ac:dyDescent="0.25">
      <c r="A484" s="2">
        <v>4057192912</v>
      </c>
      <c r="B484" s="3">
        <v>42447</v>
      </c>
      <c r="C484" t="str">
        <f t="shared" si="36"/>
        <v>Friday</v>
      </c>
      <c r="D484" t="str">
        <f t="shared" si="38"/>
        <v>Weekday</v>
      </c>
      <c r="E484" s="2">
        <v>949</v>
      </c>
      <c r="F484" s="2">
        <v>0.689999998</v>
      </c>
      <c r="G484" s="2">
        <v>0.689999998</v>
      </c>
      <c r="H484" s="2">
        <v>0</v>
      </c>
      <c r="I484" s="2">
        <v>0</v>
      </c>
      <c r="J484" s="2">
        <v>0</v>
      </c>
      <c r="K484" s="2">
        <v>0.689999998</v>
      </c>
      <c r="L484" s="2">
        <v>0</v>
      </c>
      <c r="M484" s="2">
        <v>0</v>
      </c>
      <c r="N484" s="2">
        <v>0</v>
      </c>
      <c r="O484" s="2">
        <v>34</v>
      </c>
      <c r="P484" s="2">
        <v>1406</v>
      </c>
      <c r="Q484" s="2">
        <f t="shared" si="37"/>
        <v>34</v>
      </c>
      <c r="R484" s="2">
        <f t="shared" si="35"/>
        <v>1440</v>
      </c>
      <c r="S484" t="str">
        <f t="shared" si="39"/>
        <v>Sedentary</v>
      </c>
      <c r="T484" s="2">
        <v>1870</v>
      </c>
    </row>
    <row r="485" spans="1:20" x14ac:dyDescent="0.25">
      <c r="A485" s="2">
        <v>4057192912</v>
      </c>
      <c r="B485" s="3">
        <v>42450</v>
      </c>
      <c r="C485" t="str">
        <f t="shared" si="36"/>
        <v>Monday</v>
      </c>
      <c r="D485" t="str">
        <f t="shared" si="38"/>
        <v>Weekday</v>
      </c>
      <c r="E485" s="2">
        <v>2660</v>
      </c>
      <c r="F485" s="2">
        <v>1.940000057</v>
      </c>
      <c r="G485" s="2">
        <v>1.940000057</v>
      </c>
      <c r="H485" s="2">
        <v>0</v>
      </c>
      <c r="I485" s="2">
        <v>0</v>
      </c>
      <c r="J485" s="2">
        <v>0</v>
      </c>
      <c r="K485" s="2">
        <v>1.940000057</v>
      </c>
      <c r="L485" s="2">
        <v>0</v>
      </c>
      <c r="M485" s="2">
        <v>0</v>
      </c>
      <c r="N485" s="2">
        <v>0</v>
      </c>
      <c r="O485" s="2">
        <v>46</v>
      </c>
      <c r="P485" s="2">
        <v>1394</v>
      </c>
      <c r="Q485" s="2">
        <f t="shared" si="37"/>
        <v>46</v>
      </c>
      <c r="R485" s="2">
        <f t="shared" si="35"/>
        <v>1440</v>
      </c>
      <c r="S485" t="str">
        <f t="shared" si="39"/>
        <v>Sedentary</v>
      </c>
      <c r="T485" s="2">
        <v>1978</v>
      </c>
    </row>
    <row r="486" spans="1:20" x14ac:dyDescent="0.25">
      <c r="A486" s="2">
        <v>4057192912</v>
      </c>
      <c r="B486" s="3">
        <v>42451</v>
      </c>
      <c r="C486" t="str">
        <f t="shared" si="36"/>
        <v>Tuesday</v>
      </c>
      <c r="D486" t="str">
        <f t="shared" si="38"/>
        <v>Weekday</v>
      </c>
      <c r="E486" s="2">
        <v>5561</v>
      </c>
      <c r="F486" s="2">
        <v>4.1900000569999998</v>
      </c>
      <c r="G486" s="2">
        <v>4.1900000569999998</v>
      </c>
      <c r="H486" s="2">
        <v>0</v>
      </c>
      <c r="I486" s="2">
        <v>0</v>
      </c>
      <c r="J486" s="2">
        <v>0</v>
      </c>
      <c r="K486" s="2">
        <v>4.0700001720000003</v>
      </c>
      <c r="L486" s="2">
        <v>0</v>
      </c>
      <c r="M486" s="2">
        <v>0</v>
      </c>
      <c r="N486" s="2">
        <v>0</v>
      </c>
      <c r="O486" s="2">
        <v>169</v>
      </c>
      <c r="P486" s="2">
        <v>1271</v>
      </c>
      <c r="Q486" s="2">
        <f t="shared" si="37"/>
        <v>169</v>
      </c>
      <c r="R486" s="2">
        <f t="shared" si="35"/>
        <v>1440</v>
      </c>
      <c r="S486" t="str">
        <f t="shared" si="39"/>
        <v>Lightly Active</v>
      </c>
      <c r="T486" s="2">
        <v>2296</v>
      </c>
    </row>
    <row r="487" spans="1:20" x14ac:dyDescent="0.25">
      <c r="A487" s="2">
        <v>4057192912</v>
      </c>
      <c r="B487" s="3">
        <v>42452</v>
      </c>
      <c r="C487" t="str">
        <f t="shared" si="36"/>
        <v>Wednesday</v>
      </c>
      <c r="D487" t="str">
        <f t="shared" si="38"/>
        <v>Weekday</v>
      </c>
      <c r="E487" s="2">
        <v>7239</v>
      </c>
      <c r="F487" s="2">
        <v>5.3400001530000001</v>
      </c>
      <c r="G487" s="2">
        <v>5.3400001530000001</v>
      </c>
      <c r="H487" s="2">
        <v>0</v>
      </c>
      <c r="I487" s="2">
        <v>0.55000001200000004</v>
      </c>
      <c r="J487" s="2">
        <v>0.36000001399999998</v>
      </c>
      <c r="K487" s="2">
        <v>4.3800001139999996</v>
      </c>
      <c r="L487" s="2">
        <v>0</v>
      </c>
      <c r="M487" s="2">
        <v>7</v>
      </c>
      <c r="N487" s="2">
        <v>7</v>
      </c>
      <c r="O487" s="2">
        <v>190</v>
      </c>
      <c r="P487" s="2">
        <v>1236</v>
      </c>
      <c r="Q487" s="2">
        <f t="shared" si="37"/>
        <v>204</v>
      </c>
      <c r="R487" s="2">
        <f t="shared" si="35"/>
        <v>1440</v>
      </c>
      <c r="S487" t="str">
        <f t="shared" si="39"/>
        <v>Lightly Active</v>
      </c>
      <c r="T487" s="2">
        <v>2484</v>
      </c>
    </row>
    <row r="488" spans="1:20" x14ac:dyDescent="0.25">
      <c r="A488" s="2">
        <v>4057192912</v>
      </c>
      <c r="B488" s="3">
        <v>42456</v>
      </c>
      <c r="C488" t="str">
        <f t="shared" si="36"/>
        <v>Sunday</v>
      </c>
      <c r="D488" t="str">
        <f t="shared" si="38"/>
        <v>Weekend</v>
      </c>
      <c r="E488" s="2">
        <v>2275</v>
      </c>
      <c r="F488" s="2">
        <v>1.6799999480000001</v>
      </c>
      <c r="G488" s="2">
        <v>1.6799999480000001</v>
      </c>
      <c r="H488" s="2">
        <v>0</v>
      </c>
      <c r="I488" s="2">
        <v>0</v>
      </c>
      <c r="J488" s="2">
        <v>0</v>
      </c>
      <c r="K488" s="2">
        <v>1.6599999670000001</v>
      </c>
      <c r="L488" s="2">
        <v>0</v>
      </c>
      <c r="M488" s="2">
        <v>0</v>
      </c>
      <c r="N488" s="2">
        <v>0</v>
      </c>
      <c r="O488" s="2">
        <v>86</v>
      </c>
      <c r="P488" s="2">
        <v>1354</v>
      </c>
      <c r="Q488" s="2">
        <f t="shared" si="37"/>
        <v>86</v>
      </c>
      <c r="R488" s="2">
        <f t="shared" si="35"/>
        <v>1440</v>
      </c>
      <c r="S488" t="str">
        <f t="shared" si="39"/>
        <v>Sedentary</v>
      </c>
      <c r="T488" s="2">
        <v>2005</v>
      </c>
    </row>
    <row r="489" spans="1:20" x14ac:dyDescent="0.25">
      <c r="A489" s="2">
        <v>4057192912</v>
      </c>
      <c r="B489" s="3">
        <v>42458</v>
      </c>
      <c r="C489" t="str">
        <f t="shared" si="36"/>
        <v>Tuesday</v>
      </c>
      <c r="D489" t="str">
        <f t="shared" si="38"/>
        <v>Weekday</v>
      </c>
      <c r="E489" s="2">
        <v>5137</v>
      </c>
      <c r="F489" s="2">
        <v>3.7599999899999998</v>
      </c>
      <c r="G489" s="2">
        <v>3.7599999899999998</v>
      </c>
      <c r="H489" s="2">
        <v>0</v>
      </c>
      <c r="I489" s="2">
        <v>0</v>
      </c>
      <c r="J489" s="2">
        <v>0</v>
      </c>
      <c r="K489" s="2">
        <v>3.7599999899999998</v>
      </c>
      <c r="L489" s="2">
        <v>0</v>
      </c>
      <c r="M489" s="2">
        <v>0</v>
      </c>
      <c r="N489" s="2">
        <v>0</v>
      </c>
      <c r="O489" s="2">
        <v>160</v>
      </c>
      <c r="P489" s="2">
        <v>1280</v>
      </c>
      <c r="Q489" s="2">
        <f t="shared" si="37"/>
        <v>160</v>
      </c>
      <c r="R489" s="2">
        <f t="shared" si="35"/>
        <v>1440</v>
      </c>
      <c r="S489" t="str">
        <f t="shared" si="39"/>
        <v>Lightly Active</v>
      </c>
      <c r="T489" s="2">
        <v>2293</v>
      </c>
    </row>
    <row r="490" spans="1:20" x14ac:dyDescent="0.25">
      <c r="A490" s="2">
        <v>4057192912</v>
      </c>
      <c r="B490" s="3">
        <v>42459</v>
      </c>
      <c r="C490" t="str">
        <f t="shared" si="36"/>
        <v>Wednesday</v>
      </c>
      <c r="D490" t="str">
        <f t="shared" si="38"/>
        <v>Weekday</v>
      </c>
      <c r="E490" s="2">
        <v>5419</v>
      </c>
      <c r="F490" s="2">
        <v>4</v>
      </c>
      <c r="G490" s="2">
        <v>4.5700001720000003</v>
      </c>
      <c r="H490" s="2">
        <v>5.5842998999999997E-2</v>
      </c>
      <c r="I490" s="2">
        <v>0</v>
      </c>
      <c r="J490" s="2">
        <v>0</v>
      </c>
      <c r="K490" s="2">
        <v>3.9100000860000002</v>
      </c>
      <c r="L490" s="2">
        <v>5.9999998999999998E-2</v>
      </c>
      <c r="M490" s="2">
        <v>0</v>
      </c>
      <c r="N490" s="2">
        <v>0</v>
      </c>
      <c r="O490" s="2">
        <v>145</v>
      </c>
      <c r="P490" s="2">
        <v>1295</v>
      </c>
      <c r="Q490" s="2">
        <f t="shared" si="37"/>
        <v>145</v>
      </c>
      <c r="R490" s="2">
        <f t="shared" si="35"/>
        <v>1440</v>
      </c>
      <c r="S490" t="str">
        <f t="shared" si="39"/>
        <v>Lightly Active</v>
      </c>
      <c r="T490" s="2">
        <v>2259</v>
      </c>
    </row>
    <row r="491" spans="1:20" x14ac:dyDescent="0.25">
      <c r="A491" s="2">
        <v>4057192912</v>
      </c>
      <c r="B491" s="3">
        <v>42468</v>
      </c>
      <c r="C491" t="str">
        <f t="shared" si="36"/>
        <v>Friday</v>
      </c>
      <c r="D491" t="str">
        <f t="shared" si="38"/>
        <v>Weekday</v>
      </c>
      <c r="E491" s="2">
        <v>8426</v>
      </c>
      <c r="F491" s="2">
        <v>6.1599998469999999</v>
      </c>
      <c r="G491" s="2">
        <v>6.1599998469999999</v>
      </c>
      <c r="H491" s="2">
        <v>0</v>
      </c>
      <c r="I491" s="2">
        <v>0.12999999500000001</v>
      </c>
      <c r="J491" s="2">
        <v>5.4899997709999999</v>
      </c>
      <c r="K491" s="2">
        <v>0.540000021</v>
      </c>
      <c r="L491" s="2">
        <v>0</v>
      </c>
      <c r="M491" s="2">
        <v>2</v>
      </c>
      <c r="N491" s="2">
        <v>120</v>
      </c>
      <c r="O491" s="2">
        <v>25</v>
      </c>
      <c r="P491" s="2">
        <v>1293</v>
      </c>
      <c r="Q491" s="2">
        <f t="shared" si="37"/>
        <v>147</v>
      </c>
      <c r="R491" s="2">
        <f t="shared" ref="R491:R551" si="40">SUM(M491:P491)</f>
        <v>1440</v>
      </c>
      <c r="S491" t="str">
        <f t="shared" si="39"/>
        <v>Fairly Active</v>
      </c>
      <c r="T491" s="2">
        <v>2360</v>
      </c>
    </row>
    <row r="492" spans="1:20" x14ac:dyDescent="0.25">
      <c r="A492" s="2">
        <v>4057192912</v>
      </c>
      <c r="B492" s="3">
        <v>42469</v>
      </c>
      <c r="C492" t="str">
        <f t="shared" si="36"/>
        <v>Saturday</v>
      </c>
      <c r="D492" t="str">
        <f t="shared" si="38"/>
        <v>Weekend</v>
      </c>
      <c r="E492" s="2">
        <v>1650</v>
      </c>
      <c r="F492" s="2">
        <v>1.210000038</v>
      </c>
      <c r="G492" s="2">
        <v>1.210000038</v>
      </c>
      <c r="H492" s="2">
        <v>0</v>
      </c>
      <c r="I492" s="2">
        <v>0</v>
      </c>
      <c r="J492" s="2">
        <v>0</v>
      </c>
      <c r="K492" s="2">
        <v>1.210000038</v>
      </c>
      <c r="L492" s="2">
        <v>0</v>
      </c>
      <c r="M492" s="2">
        <v>0</v>
      </c>
      <c r="N492" s="2">
        <v>0</v>
      </c>
      <c r="O492" s="2">
        <v>60</v>
      </c>
      <c r="P492" s="2">
        <v>1380</v>
      </c>
      <c r="Q492" s="2">
        <f t="shared" si="37"/>
        <v>60</v>
      </c>
      <c r="R492" s="2">
        <f t="shared" si="40"/>
        <v>1440</v>
      </c>
      <c r="S492" t="str">
        <f t="shared" si="39"/>
        <v>Sedentary</v>
      </c>
      <c r="T492" s="2">
        <v>1952</v>
      </c>
    </row>
    <row r="493" spans="1:20" x14ac:dyDescent="0.25">
      <c r="A493" s="2">
        <v>4057192912</v>
      </c>
      <c r="B493" s="3">
        <v>42470</v>
      </c>
      <c r="C493" t="str">
        <f t="shared" si="36"/>
        <v>Sunday</v>
      </c>
      <c r="D493" t="str">
        <f t="shared" si="38"/>
        <v>Weekend</v>
      </c>
      <c r="E493" s="2">
        <v>3434</v>
      </c>
      <c r="F493" s="2">
        <v>2.5099999899999998</v>
      </c>
      <c r="G493" s="2">
        <v>2.5099999899999998</v>
      </c>
      <c r="H493" s="2">
        <v>0</v>
      </c>
      <c r="I493" s="2">
        <v>7.0000000000000007E-2</v>
      </c>
      <c r="J493" s="2">
        <v>0.30000001199999998</v>
      </c>
      <c r="K493" s="2">
        <v>2.1400001049999999</v>
      </c>
      <c r="L493" s="2">
        <v>0</v>
      </c>
      <c r="M493" s="2">
        <v>1</v>
      </c>
      <c r="N493" s="2">
        <v>7</v>
      </c>
      <c r="O493" s="2">
        <v>108</v>
      </c>
      <c r="P493" s="2">
        <v>1324</v>
      </c>
      <c r="Q493" s="2">
        <f t="shared" si="37"/>
        <v>116</v>
      </c>
      <c r="R493" s="2">
        <f t="shared" si="40"/>
        <v>1440</v>
      </c>
      <c r="S493" t="str">
        <f t="shared" si="39"/>
        <v>Sedentary</v>
      </c>
      <c r="T493" s="2">
        <v>2101</v>
      </c>
    </row>
    <row r="494" spans="1:20" x14ac:dyDescent="0.25">
      <c r="A494" s="2">
        <v>4057192912</v>
      </c>
      <c r="B494" s="3">
        <v>42471</v>
      </c>
      <c r="C494" t="str">
        <f t="shared" si="36"/>
        <v>Monday</v>
      </c>
      <c r="D494" t="str">
        <f t="shared" si="38"/>
        <v>Weekday</v>
      </c>
      <c r="E494" s="2">
        <v>6801</v>
      </c>
      <c r="F494" s="2">
        <v>4.9800000190000002</v>
      </c>
      <c r="G494" s="2">
        <v>4.9800000190000002</v>
      </c>
      <c r="H494" s="2">
        <v>0</v>
      </c>
      <c r="I494" s="2">
        <v>0</v>
      </c>
      <c r="J494" s="2">
        <v>0</v>
      </c>
      <c r="K494" s="2">
        <v>4.9699997900000001</v>
      </c>
      <c r="L494" s="2">
        <v>0</v>
      </c>
      <c r="M494" s="2">
        <v>0</v>
      </c>
      <c r="N494" s="2">
        <v>0</v>
      </c>
      <c r="O494" s="2">
        <v>193</v>
      </c>
      <c r="P494" s="2">
        <v>1247</v>
      </c>
      <c r="Q494" s="2">
        <f t="shared" si="37"/>
        <v>193</v>
      </c>
      <c r="R494" s="2">
        <f t="shared" si="40"/>
        <v>1440</v>
      </c>
      <c r="S494" t="str">
        <f t="shared" si="39"/>
        <v>Lightly Active</v>
      </c>
      <c r="T494" s="2">
        <v>2393</v>
      </c>
    </row>
    <row r="495" spans="1:20" x14ac:dyDescent="0.25">
      <c r="A495" s="2">
        <v>4057192912</v>
      </c>
      <c r="B495" s="3">
        <v>42473</v>
      </c>
      <c r="C495" t="str">
        <f t="shared" ref="C495:C556" si="41">CHOOSE(WEEKDAY(B495), "Sunday", "Monday", "Tuesday", "Wednesday", "Thursday", "Friday", "Saturday")</f>
        <v>Wednesday</v>
      </c>
      <c r="D495" t="str">
        <f t="shared" si="38"/>
        <v>Weekday</v>
      </c>
      <c r="E495" s="2">
        <v>5974</v>
      </c>
      <c r="F495" s="2">
        <v>4.4699997900000001</v>
      </c>
      <c r="G495" s="2">
        <v>4.4699997900000001</v>
      </c>
      <c r="H495" s="2">
        <v>0</v>
      </c>
      <c r="I495" s="2">
        <v>0</v>
      </c>
      <c r="J495" s="2">
        <v>0</v>
      </c>
      <c r="K495" s="2">
        <v>4.3699998860000004</v>
      </c>
      <c r="L495" s="2">
        <v>0</v>
      </c>
      <c r="M495" s="2">
        <v>0</v>
      </c>
      <c r="N495" s="2">
        <v>0</v>
      </c>
      <c r="O495" s="2">
        <v>160</v>
      </c>
      <c r="P495" s="2">
        <v>1280</v>
      </c>
      <c r="Q495" s="2">
        <f t="shared" ref="Q495:Q556" si="42">SUM(M495:O495)</f>
        <v>160</v>
      </c>
      <c r="R495" s="2">
        <f t="shared" si="40"/>
        <v>1440</v>
      </c>
      <c r="S495" t="str">
        <f t="shared" si="39"/>
        <v>Lightly Active</v>
      </c>
      <c r="T495" s="2">
        <v>2306</v>
      </c>
    </row>
    <row r="496" spans="1:20" x14ac:dyDescent="0.25">
      <c r="A496" s="2">
        <v>4057192912</v>
      </c>
      <c r="B496" s="3">
        <v>42475</v>
      </c>
      <c r="C496" t="str">
        <f t="shared" si="41"/>
        <v>Friday</v>
      </c>
      <c r="D496" t="str">
        <f t="shared" si="38"/>
        <v>Weekday</v>
      </c>
      <c r="E496" s="2">
        <v>3984</v>
      </c>
      <c r="F496" s="2">
        <v>2.9500000480000002</v>
      </c>
      <c r="G496" s="2">
        <v>2.9500000480000002</v>
      </c>
      <c r="H496" s="2">
        <v>0</v>
      </c>
      <c r="I496" s="2">
        <v>0.209999993</v>
      </c>
      <c r="J496" s="2">
        <v>0.25999999000000001</v>
      </c>
      <c r="K496" s="2">
        <v>2.4400000569999998</v>
      </c>
      <c r="L496" s="2">
        <v>0</v>
      </c>
      <c r="M496" s="2">
        <v>3</v>
      </c>
      <c r="N496" s="2">
        <v>6</v>
      </c>
      <c r="O496" s="2">
        <v>88</v>
      </c>
      <c r="P496" s="2">
        <v>873</v>
      </c>
      <c r="Q496" s="2">
        <f t="shared" si="42"/>
        <v>97</v>
      </c>
      <c r="R496" s="2">
        <f t="shared" si="40"/>
        <v>970</v>
      </c>
      <c r="S496" t="str">
        <f t="shared" si="39"/>
        <v>Sedentary</v>
      </c>
      <c r="T496" s="2">
        <v>1527</v>
      </c>
    </row>
    <row r="497" spans="1:20" x14ac:dyDescent="0.25">
      <c r="A497" s="2">
        <v>4319703577</v>
      </c>
      <c r="B497" s="3">
        <v>42458</v>
      </c>
      <c r="C497" t="str">
        <f t="shared" si="41"/>
        <v>Tuesday</v>
      </c>
      <c r="D497" t="str">
        <f t="shared" si="38"/>
        <v>Weekday</v>
      </c>
      <c r="E497" s="2">
        <v>5643</v>
      </c>
      <c r="F497" s="2">
        <v>3.789999962</v>
      </c>
      <c r="G497" s="2">
        <v>3.789999962</v>
      </c>
      <c r="H497" s="2">
        <v>0</v>
      </c>
      <c r="I497" s="2">
        <v>0.23000000400000001</v>
      </c>
      <c r="J497" s="2">
        <v>0.33000001299999998</v>
      </c>
      <c r="K497" s="2">
        <v>3.2300000190000002</v>
      </c>
      <c r="L497" s="2">
        <v>0</v>
      </c>
      <c r="M497" s="2">
        <v>3</v>
      </c>
      <c r="N497" s="2">
        <v>8</v>
      </c>
      <c r="O497" s="2">
        <v>199</v>
      </c>
      <c r="P497" s="2">
        <v>683</v>
      </c>
      <c r="Q497" s="2">
        <f t="shared" si="42"/>
        <v>210</v>
      </c>
      <c r="R497" s="2">
        <f t="shared" si="40"/>
        <v>893</v>
      </c>
      <c r="S497" t="str">
        <f t="shared" si="39"/>
        <v>Lightly Active</v>
      </c>
      <c r="T497" s="2">
        <v>1958</v>
      </c>
    </row>
    <row r="498" spans="1:20" x14ac:dyDescent="0.25">
      <c r="A498" s="2">
        <v>4319703577</v>
      </c>
      <c r="B498" s="3">
        <v>42459</v>
      </c>
      <c r="C498" t="str">
        <f t="shared" si="41"/>
        <v>Wednesday</v>
      </c>
      <c r="D498" t="str">
        <f t="shared" si="38"/>
        <v>Weekday</v>
      </c>
      <c r="E498" s="2">
        <v>9043</v>
      </c>
      <c r="F498" s="2">
        <v>6.0700001720000003</v>
      </c>
      <c r="G498" s="2">
        <v>6.0700001720000003</v>
      </c>
      <c r="H498" s="2">
        <v>0</v>
      </c>
      <c r="I498" s="2">
        <v>0.25</v>
      </c>
      <c r="J498" s="2">
        <v>0.43000000700000002</v>
      </c>
      <c r="K498" s="2">
        <v>5.3699998860000004</v>
      </c>
      <c r="L498" s="2">
        <v>0</v>
      </c>
      <c r="M498" s="2">
        <v>4</v>
      </c>
      <c r="N498" s="2">
        <v>12</v>
      </c>
      <c r="O498" s="2">
        <v>244</v>
      </c>
      <c r="P498" s="2">
        <v>702</v>
      </c>
      <c r="Q498" s="2">
        <f t="shared" si="42"/>
        <v>260</v>
      </c>
      <c r="R498" s="2">
        <f t="shared" si="40"/>
        <v>962</v>
      </c>
      <c r="S498" t="str">
        <f t="shared" si="39"/>
        <v>Fairly Active</v>
      </c>
      <c r="T498" s="2">
        <v>2141</v>
      </c>
    </row>
    <row r="499" spans="1:20" x14ac:dyDescent="0.25">
      <c r="A499" s="2">
        <v>4319703577</v>
      </c>
      <c r="B499" s="3">
        <v>42460</v>
      </c>
      <c r="C499" t="str">
        <f t="shared" si="41"/>
        <v>Thursday</v>
      </c>
      <c r="D499" t="str">
        <f t="shared" si="38"/>
        <v>Weekday</v>
      </c>
      <c r="E499" s="2">
        <v>8144</v>
      </c>
      <c r="F499" s="2">
        <v>5.4600000380000004</v>
      </c>
      <c r="G499" s="2">
        <v>5.4600000380000004</v>
      </c>
      <c r="H499" s="2">
        <v>0</v>
      </c>
      <c r="I499" s="2">
        <v>0.25</v>
      </c>
      <c r="J499" s="2">
        <v>0.61000001400000003</v>
      </c>
      <c r="K499" s="2">
        <v>4.6100001339999999</v>
      </c>
      <c r="L499" s="2">
        <v>0</v>
      </c>
      <c r="M499" s="2">
        <v>4</v>
      </c>
      <c r="N499" s="2">
        <v>17</v>
      </c>
      <c r="O499" s="2">
        <v>247</v>
      </c>
      <c r="P499" s="2">
        <v>1125</v>
      </c>
      <c r="Q499" s="2">
        <f t="shared" si="42"/>
        <v>268</v>
      </c>
      <c r="R499" s="2">
        <f t="shared" si="40"/>
        <v>1393</v>
      </c>
      <c r="S499" t="str">
        <f t="shared" si="39"/>
        <v>Fairly Active</v>
      </c>
      <c r="T499" s="2">
        <v>2129</v>
      </c>
    </row>
    <row r="500" spans="1:20" x14ac:dyDescent="0.25">
      <c r="A500" s="2">
        <v>4319703577</v>
      </c>
      <c r="B500" s="3">
        <v>42461</v>
      </c>
      <c r="C500" t="str">
        <f t="shared" si="41"/>
        <v>Friday</v>
      </c>
      <c r="D500" t="str">
        <f t="shared" si="38"/>
        <v>Weekday</v>
      </c>
      <c r="E500" s="2">
        <v>9343</v>
      </c>
      <c r="F500" s="2">
        <v>6.2699999809999998</v>
      </c>
      <c r="G500" s="2">
        <v>6.2699999809999998</v>
      </c>
      <c r="H500" s="2">
        <v>0</v>
      </c>
      <c r="I500" s="2">
        <v>0.959999979</v>
      </c>
      <c r="J500" s="2">
        <v>0.85000002399999997</v>
      </c>
      <c r="K500" s="2">
        <v>4.4600000380000004</v>
      </c>
      <c r="L500" s="2">
        <v>0</v>
      </c>
      <c r="M500" s="2">
        <v>14</v>
      </c>
      <c r="N500" s="2">
        <v>20</v>
      </c>
      <c r="O500" s="2">
        <v>268</v>
      </c>
      <c r="P500" s="2">
        <v>654</v>
      </c>
      <c r="Q500" s="2">
        <f t="shared" si="42"/>
        <v>302</v>
      </c>
      <c r="R500" s="2">
        <f t="shared" si="40"/>
        <v>956</v>
      </c>
      <c r="S500" t="str">
        <f t="shared" si="39"/>
        <v>Fairly Active</v>
      </c>
      <c r="T500" s="2">
        <v>2216</v>
      </c>
    </row>
    <row r="501" spans="1:20" x14ac:dyDescent="0.25">
      <c r="A501" s="2">
        <v>4319703577</v>
      </c>
      <c r="B501" s="3">
        <v>42462</v>
      </c>
      <c r="C501" t="str">
        <f t="shared" si="41"/>
        <v>Saturday</v>
      </c>
      <c r="D501" t="str">
        <f t="shared" si="38"/>
        <v>Weekend</v>
      </c>
      <c r="E501" s="2">
        <v>8405</v>
      </c>
      <c r="F501" s="2">
        <v>5.6599998469999999</v>
      </c>
      <c r="G501" s="2">
        <v>5.6599998469999999</v>
      </c>
      <c r="H501" s="2">
        <v>0</v>
      </c>
      <c r="I501" s="2">
        <v>1.1299999949999999</v>
      </c>
      <c r="J501" s="2">
        <v>0.189999998</v>
      </c>
      <c r="K501" s="2">
        <v>4.3400001530000001</v>
      </c>
      <c r="L501" s="2">
        <v>0</v>
      </c>
      <c r="M501" s="2">
        <v>15</v>
      </c>
      <c r="N501" s="2">
        <v>4</v>
      </c>
      <c r="O501" s="2">
        <v>257</v>
      </c>
      <c r="P501" s="2">
        <v>621</v>
      </c>
      <c r="Q501" s="2">
        <f t="shared" si="42"/>
        <v>276</v>
      </c>
      <c r="R501" s="2">
        <f t="shared" si="40"/>
        <v>897</v>
      </c>
      <c r="S501" t="str">
        <f t="shared" si="39"/>
        <v>Fairly Active</v>
      </c>
      <c r="T501" s="2">
        <v>2154</v>
      </c>
    </row>
    <row r="502" spans="1:20" x14ac:dyDescent="0.25">
      <c r="A502" s="2">
        <v>4319703577</v>
      </c>
      <c r="B502" s="3">
        <v>42463</v>
      </c>
      <c r="C502" t="str">
        <f t="shared" si="41"/>
        <v>Sunday</v>
      </c>
      <c r="D502" t="str">
        <f t="shared" si="38"/>
        <v>Weekend</v>
      </c>
      <c r="E502" s="2">
        <v>8223</v>
      </c>
      <c r="F502" s="2">
        <v>5.5199999809999998</v>
      </c>
      <c r="G502" s="2">
        <v>5.5199999809999998</v>
      </c>
      <c r="H502" s="2">
        <v>0</v>
      </c>
      <c r="I502" s="2">
        <v>0.80000001200000004</v>
      </c>
      <c r="J502" s="2">
        <v>1.5099999900000001</v>
      </c>
      <c r="K502" s="2">
        <v>3.210000038</v>
      </c>
      <c r="L502" s="2">
        <v>0</v>
      </c>
      <c r="M502" s="2">
        <v>12</v>
      </c>
      <c r="N502" s="2">
        <v>37</v>
      </c>
      <c r="O502" s="2">
        <v>257</v>
      </c>
      <c r="P502" s="2">
        <v>551</v>
      </c>
      <c r="Q502" s="2">
        <f t="shared" si="42"/>
        <v>306</v>
      </c>
      <c r="R502" s="2">
        <f t="shared" si="40"/>
        <v>857</v>
      </c>
      <c r="S502" t="str">
        <f t="shared" si="39"/>
        <v>Fairly Active</v>
      </c>
      <c r="T502" s="2">
        <v>2178</v>
      </c>
    </row>
    <row r="503" spans="1:20" x14ac:dyDescent="0.25">
      <c r="A503" s="2">
        <v>4319703577</v>
      </c>
      <c r="B503" s="3">
        <v>42464</v>
      </c>
      <c r="C503" t="str">
        <f t="shared" si="41"/>
        <v>Monday</v>
      </c>
      <c r="D503" t="str">
        <f t="shared" si="38"/>
        <v>Weekday</v>
      </c>
      <c r="E503" s="2">
        <v>10067</v>
      </c>
      <c r="F503" s="2">
        <v>6.7600002290000001</v>
      </c>
      <c r="G503" s="2">
        <v>6.7600002290000001</v>
      </c>
      <c r="H503" s="2">
        <v>0</v>
      </c>
      <c r="I503" s="2">
        <v>0.36000001399999998</v>
      </c>
      <c r="J503" s="2">
        <v>1.4199999569999999</v>
      </c>
      <c r="K503" s="2">
        <v>4.9699997900000001</v>
      </c>
      <c r="L503" s="2">
        <v>0</v>
      </c>
      <c r="M503" s="2">
        <v>5</v>
      </c>
      <c r="N503" s="2">
        <v>39</v>
      </c>
      <c r="O503" s="2">
        <v>313</v>
      </c>
      <c r="P503" s="2">
        <v>578</v>
      </c>
      <c r="Q503" s="2">
        <f t="shared" si="42"/>
        <v>357</v>
      </c>
      <c r="R503" s="2">
        <f t="shared" si="40"/>
        <v>935</v>
      </c>
      <c r="S503" t="str">
        <f t="shared" si="39"/>
        <v>Highly Active</v>
      </c>
      <c r="T503" s="2">
        <v>2308</v>
      </c>
    </row>
    <row r="504" spans="1:20" x14ac:dyDescent="0.25">
      <c r="A504" s="2">
        <v>4319703577</v>
      </c>
      <c r="B504" s="3">
        <v>42465</v>
      </c>
      <c r="C504" t="str">
        <f t="shared" si="41"/>
        <v>Tuesday</v>
      </c>
      <c r="D504" t="str">
        <f t="shared" si="38"/>
        <v>Weekday</v>
      </c>
      <c r="E504" s="2">
        <v>8359</v>
      </c>
      <c r="F504" s="2">
        <v>5.6300001139999996</v>
      </c>
      <c r="G504" s="2">
        <v>5.6300001139999996</v>
      </c>
      <c r="H504" s="2">
        <v>0</v>
      </c>
      <c r="I504" s="2">
        <v>0.23000000400000001</v>
      </c>
      <c r="J504" s="2">
        <v>0.52999997099999996</v>
      </c>
      <c r="K504" s="2">
        <v>4.8699998860000004</v>
      </c>
      <c r="L504" s="2">
        <v>0</v>
      </c>
      <c r="M504" s="2">
        <v>3</v>
      </c>
      <c r="N504" s="2">
        <v>14</v>
      </c>
      <c r="O504" s="2">
        <v>311</v>
      </c>
      <c r="P504" s="2">
        <v>638</v>
      </c>
      <c r="Q504" s="2">
        <f t="shared" si="42"/>
        <v>328</v>
      </c>
      <c r="R504" s="2">
        <f t="shared" si="40"/>
        <v>966</v>
      </c>
      <c r="S504" t="str">
        <f t="shared" si="39"/>
        <v>Fairly Active</v>
      </c>
      <c r="T504" s="2">
        <v>2201</v>
      </c>
    </row>
    <row r="505" spans="1:20" x14ac:dyDescent="0.25">
      <c r="A505" s="2">
        <v>4319703577</v>
      </c>
      <c r="B505" s="3">
        <v>42466</v>
      </c>
      <c r="C505" t="str">
        <f t="shared" si="41"/>
        <v>Wednesday</v>
      </c>
      <c r="D505" t="str">
        <f t="shared" si="38"/>
        <v>Weekday</v>
      </c>
      <c r="E505" s="2">
        <v>10946</v>
      </c>
      <c r="F505" s="2">
        <v>7.3499999049999998</v>
      </c>
      <c r="G505" s="2">
        <v>7.3499999049999998</v>
      </c>
      <c r="H505" s="2">
        <v>0</v>
      </c>
      <c r="I505" s="2">
        <v>0.540000021</v>
      </c>
      <c r="J505" s="2">
        <v>2.0899999139999998</v>
      </c>
      <c r="K505" s="2">
        <v>4.7199997900000001</v>
      </c>
      <c r="L505" s="2">
        <v>0</v>
      </c>
      <c r="M505" s="2">
        <v>8</v>
      </c>
      <c r="N505" s="2">
        <v>51</v>
      </c>
      <c r="O505" s="2">
        <v>308</v>
      </c>
      <c r="P505" s="2">
        <v>569</v>
      </c>
      <c r="Q505" s="2">
        <f t="shared" si="42"/>
        <v>367</v>
      </c>
      <c r="R505" s="2">
        <f t="shared" si="40"/>
        <v>936</v>
      </c>
      <c r="S505" t="str">
        <f t="shared" si="39"/>
        <v>Highly Active</v>
      </c>
      <c r="T505" s="2">
        <v>2341</v>
      </c>
    </row>
    <row r="506" spans="1:20" x14ac:dyDescent="0.25">
      <c r="A506" s="2">
        <v>4319703577</v>
      </c>
      <c r="B506" s="3">
        <v>42467</v>
      </c>
      <c r="C506" t="str">
        <f t="shared" si="41"/>
        <v>Thursday</v>
      </c>
      <c r="D506" t="str">
        <f t="shared" si="38"/>
        <v>Weekday</v>
      </c>
      <c r="E506" s="2">
        <v>9130</v>
      </c>
      <c r="F506" s="2">
        <v>6.1500000950000002</v>
      </c>
      <c r="G506" s="2">
        <v>6.1500000950000002</v>
      </c>
      <c r="H506" s="2">
        <v>0</v>
      </c>
      <c r="I506" s="2">
        <v>0.5</v>
      </c>
      <c r="J506" s="2">
        <v>0.37999999499999998</v>
      </c>
      <c r="K506" s="2">
        <v>5.2699999809999998</v>
      </c>
      <c r="L506" s="2">
        <v>0</v>
      </c>
      <c r="M506" s="2">
        <v>7</v>
      </c>
      <c r="N506" s="2">
        <v>11</v>
      </c>
      <c r="O506" s="2">
        <v>304</v>
      </c>
      <c r="P506" s="2">
        <v>668</v>
      </c>
      <c r="Q506" s="2">
        <f t="shared" si="42"/>
        <v>322</v>
      </c>
      <c r="R506" s="2">
        <f t="shared" si="40"/>
        <v>990</v>
      </c>
      <c r="S506" t="str">
        <f t="shared" si="39"/>
        <v>Fairly Active</v>
      </c>
      <c r="T506" s="2">
        <v>2236</v>
      </c>
    </row>
    <row r="507" spans="1:20" x14ac:dyDescent="0.25">
      <c r="A507" s="2">
        <v>4319703577</v>
      </c>
      <c r="B507" s="3">
        <v>42468</v>
      </c>
      <c r="C507" t="str">
        <f t="shared" si="41"/>
        <v>Friday</v>
      </c>
      <c r="D507" t="str">
        <f t="shared" si="38"/>
        <v>Weekday</v>
      </c>
      <c r="E507" s="2">
        <v>6544</v>
      </c>
      <c r="F507" s="2">
        <v>4.4099998469999999</v>
      </c>
      <c r="G507" s="2">
        <v>4.4099998469999999</v>
      </c>
      <c r="H507" s="2">
        <v>0</v>
      </c>
      <c r="I507" s="2">
        <v>0.28999999199999998</v>
      </c>
      <c r="J507" s="2">
        <v>0.25999999000000001</v>
      </c>
      <c r="K507" s="2">
        <v>3.8599998950000001</v>
      </c>
      <c r="L507" s="2">
        <v>0</v>
      </c>
      <c r="M507" s="2">
        <v>4</v>
      </c>
      <c r="N507" s="2">
        <v>6</v>
      </c>
      <c r="O507" s="2">
        <v>276</v>
      </c>
      <c r="P507" s="2">
        <v>1132</v>
      </c>
      <c r="Q507" s="2">
        <f t="shared" si="42"/>
        <v>286</v>
      </c>
      <c r="R507" s="2">
        <f t="shared" si="40"/>
        <v>1418</v>
      </c>
      <c r="S507" t="str">
        <f t="shared" si="39"/>
        <v>Lightly Active</v>
      </c>
      <c r="T507" s="2">
        <v>2069</v>
      </c>
    </row>
    <row r="508" spans="1:20" x14ac:dyDescent="0.25">
      <c r="A508" s="2">
        <v>4319703577</v>
      </c>
      <c r="B508" s="3">
        <v>42473</v>
      </c>
      <c r="C508" t="str">
        <f t="shared" si="41"/>
        <v>Wednesday</v>
      </c>
      <c r="D508" t="str">
        <f t="shared" si="38"/>
        <v>Weekday</v>
      </c>
      <c r="E508" s="2">
        <v>8204</v>
      </c>
      <c r="F508" s="2">
        <v>5.5</v>
      </c>
      <c r="G508" s="2">
        <v>5.5</v>
      </c>
      <c r="H508" s="2">
        <v>0</v>
      </c>
      <c r="I508" s="2">
        <v>0.52999997099999996</v>
      </c>
      <c r="J508" s="2">
        <v>0.58999997400000004</v>
      </c>
      <c r="K508" s="2">
        <v>1.309999943</v>
      </c>
      <c r="L508" s="2">
        <v>0</v>
      </c>
      <c r="M508" s="2">
        <v>8</v>
      </c>
      <c r="N508" s="2">
        <v>15</v>
      </c>
      <c r="O508" s="2">
        <v>96</v>
      </c>
      <c r="P508" s="2">
        <v>1234</v>
      </c>
      <c r="Q508" s="2">
        <f t="shared" si="42"/>
        <v>119</v>
      </c>
      <c r="R508" s="2">
        <f t="shared" si="40"/>
        <v>1353</v>
      </c>
      <c r="S508" t="str">
        <f t="shared" si="39"/>
        <v>Fairly Active</v>
      </c>
      <c r="T508" s="2">
        <v>2135</v>
      </c>
    </row>
    <row r="509" spans="1:20" x14ac:dyDescent="0.25">
      <c r="A509" s="2">
        <v>4319703577</v>
      </c>
      <c r="B509" s="3">
        <v>42474</v>
      </c>
      <c r="C509" t="str">
        <f t="shared" si="41"/>
        <v>Thursday</v>
      </c>
      <c r="D509" t="str">
        <f t="shared" si="38"/>
        <v>Weekday</v>
      </c>
      <c r="E509" s="2">
        <v>10210</v>
      </c>
      <c r="F509" s="2">
        <v>6.8800001139999996</v>
      </c>
      <c r="G509" s="2">
        <v>6.8800001139999996</v>
      </c>
      <c r="H509" s="2">
        <v>0</v>
      </c>
      <c r="I509" s="2">
        <v>0.109999999</v>
      </c>
      <c r="J509" s="2">
        <v>0.33000001299999998</v>
      </c>
      <c r="K509" s="2">
        <v>6.4400000569999998</v>
      </c>
      <c r="L509" s="2">
        <v>0</v>
      </c>
      <c r="M509" s="2">
        <v>1</v>
      </c>
      <c r="N509" s="2">
        <v>9</v>
      </c>
      <c r="O509" s="2">
        <v>339</v>
      </c>
      <c r="P509" s="2">
        <v>589</v>
      </c>
      <c r="Q509" s="2">
        <f t="shared" si="42"/>
        <v>349</v>
      </c>
      <c r="R509" s="2">
        <f t="shared" si="40"/>
        <v>938</v>
      </c>
      <c r="S509" t="str">
        <f t="shared" si="39"/>
        <v>Highly Active</v>
      </c>
      <c r="T509" s="2">
        <v>2302</v>
      </c>
    </row>
    <row r="510" spans="1:20" x14ac:dyDescent="0.25">
      <c r="A510" s="2">
        <v>4319703577</v>
      </c>
      <c r="B510" s="3">
        <v>42475</v>
      </c>
      <c r="C510" t="str">
        <f t="shared" si="41"/>
        <v>Friday</v>
      </c>
      <c r="D510" t="str">
        <f t="shared" si="38"/>
        <v>Weekday</v>
      </c>
      <c r="E510" s="2">
        <v>5664</v>
      </c>
      <c r="F510" s="2">
        <v>3.7999999519999998</v>
      </c>
      <c r="G510" s="2">
        <v>3.7999999519999998</v>
      </c>
      <c r="H510" s="2">
        <v>0</v>
      </c>
      <c r="I510" s="2">
        <v>0</v>
      </c>
      <c r="J510" s="2">
        <v>0</v>
      </c>
      <c r="K510" s="2">
        <v>3.7999999519999998</v>
      </c>
      <c r="L510" s="2">
        <v>0</v>
      </c>
      <c r="M510" s="2">
        <v>0</v>
      </c>
      <c r="N510" s="2">
        <v>0</v>
      </c>
      <c r="O510" s="2">
        <v>228</v>
      </c>
      <c r="P510" s="2">
        <v>752</v>
      </c>
      <c r="Q510" s="2">
        <f t="shared" si="42"/>
        <v>228</v>
      </c>
      <c r="R510" s="2">
        <f t="shared" si="40"/>
        <v>980</v>
      </c>
      <c r="S510" t="str">
        <f t="shared" si="39"/>
        <v>Lightly Active</v>
      </c>
      <c r="T510" s="2">
        <v>1985</v>
      </c>
    </row>
    <row r="511" spans="1:20" x14ac:dyDescent="0.25">
      <c r="A511" s="2">
        <v>4319703577</v>
      </c>
      <c r="B511" s="3">
        <v>42476</v>
      </c>
      <c r="C511" t="str">
        <f t="shared" si="41"/>
        <v>Saturday</v>
      </c>
      <c r="D511" t="str">
        <f t="shared" si="38"/>
        <v>Weekend</v>
      </c>
      <c r="E511" s="2">
        <v>4744</v>
      </c>
      <c r="F511" s="2">
        <v>3.1800000669999999</v>
      </c>
      <c r="G511" s="2">
        <v>3.1800000669999999</v>
      </c>
      <c r="H511" s="2">
        <v>0</v>
      </c>
      <c r="I511" s="2">
        <v>0</v>
      </c>
      <c r="J511" s="2">
        <v>0</v>
      </c>
      <c r="K511" s="2">
        <v>3.1800000669999999</v>
      </c>
      <c r="L511" s="2">
        <v>0</v>
      </c>
      <c r="M511" s="2">
        <v>0</v>
      </c>
      <c r="N511" s="2">
        <v>0</v>
      </c>
      <c r="O511" s="2">
        <v>194</v>
      </c>
      <c r="P511" s="2">
        <v>724</v>
      </c>
      <c r="Q511" s="2">
        <f t="shared" si="42"/>
        <v>194</v>
      </c>
      <c r="R511" s="2">
        <f t="shared" si="40"/>
        <v>918</v>
      </c>
      <c r="S511" t="str">
        <f t="shared" si="39"/>
        <v>Sedentary</v>
      </c>
      <c r="T511" s="2">
        <v>1884</v>
      </c>
    </row>
    <row r="512" spans="1:20" x14ac:dyDescent="0.25">
      <c r="A512" s="2">
        <v>4319703577</v>
      </c>
      <c r="B512" s="3">
        <v>42478</v>
      </c>
      <c r="C512" t="str">
        <f t="shared" si="41"/>
        <v>Monday</v>
      </c>
      <c r="D512" t="str">
        <f t="shared" si="38"/>
        <v>Weekday</v>
      </c>
      <c r="E512" s="2">
        <v>2276</v>
      </c>
      <c r="F512" s="2">
        <v>1.5499999520000001</v>
      </c>
      <c r="G512" s="2">
        <v>1.5499999520000001</v>
      </c>
      <c r="H512" s="2">
        <v>0</v>
      </c>
      <c r="I512" s="2">
        <v>7.0000000000000007E-2</v>
      </c>
      <c r="J512" s="2">
        <v>0.33000001299999998</v>
      </c>
      <c r="K512" s="2">
        <v>1.1200000050000001</v>
      </c>
      <c r="L512" s="2">
        <v>0</v>
      </c>
      <c r="M512" s="2">
        <v>1</v>
      </c>
      <c r="N512" s="2">
        <v>9</v>
      </c>
      <c r="O512" s="2">
        <v>58</v>
      </c>
      <c r="P512" s="2">
        <v>824</v>
      </c>
      <c r="Q512" s="2">
        <f t="shared" si="42"/>
        <v>68</v>
      </c>
      <c r="R512" s="2">
        <f t="shared" si="40"/>
        <v>892</v>
      </c>
      <c r="S512" t="str">
        <f t="shared" si="39"/>
        <v>Sedentary</v>
      </c>
      <c r="T512" s="2">
        <v>1632</v>
      </c>
    </row>
    <row r="513" spans="1:20" x14ac:dyDescent="0.25">
      <c r="A513" s="2">
        <v>4319703577</v>
      </c>
      <c r="B513" s="3">
        <v>42479</v>
      </c>
      <c r="C513" t="str">
        <f t="shared" si="41"/>
        <v>Tuesday</v>
      </c>
      <c r="D513" t="str">
        <f t="shared" si="38"/>
        <v>Weekday</v>
      </c>
      <c r="E513" s="2">
        <v>8925</v>
      </c>
      <c r="F513" s="2">
        <v>5.9899997709999999</v>
      </c>
      <c r="G513" s="2">
        <v>5.9899997709999999</v>
      </c>
      <c r="H513" s="2">
        <v>0</v>
      </c>
      <c r="I513" s="2">
        <v>0</v>
      </c>
      <c r="J513" s="2">
        <v>0</v>
      </c>
      <c r="K513" s="2">
        <v>5.9899997709999999</v>
      </c>
      <c r="L513" s="2">
        <v>0</v>
      </c>
      <c r="M513" s="2">
        <v>0</v>
      </c>
      <c r="N513" s="2">
        <v>0</v>
      </c>
      <c r="O513" s="2">
        <v>311</v>
      </c>
      <c r="P513" s="2">
        <v>604</v>
      </c>
      <c r="Q513" s="2">
        <f t="shared" si="42"/>
        <v>311</v>
      </c>
      <c r="R513" s="2">
        <f t="shared" si="40"/>
        <v>915</v>
      </c>
      <c r="S513" t="str">
        <f t="shared" si="39"/>
        <v>Fairly Active</v>
      </c>
      <c r="T513" s="2">
        <v>2200</v>
      </c>
    </row>
    <row r="514" spans="1:20" x14ac:dyDescent="0.25">
      <c r="A514" s="2">
        <v>4319703577</v>
      </c>
      <c r="B514" s="3">
        <v>42480</v>
      </c>
      <c r="C514" t="str">
        <f t="shared" si="41"/>
        <v>Wednesday</v>
      </c>
      <c r="D514" t="str">
        <f t="shared" si="38"/>
        <v>Weekday</v>
      </c>
      <c r="E514" s="2">
        <v>8954</v>
      </c>
      <c r="F514" s="2">
        <v>6.0100002290000001</v>
      </c>
      <c r="G514" s="2">
        <v>6.0100002290000001</v>
      </c>
      <c r="H514" s="2">
        <v>0</v>
      </c>
      <c r="I514" s="2">
        <v>0</v>
      </c>
      <c r="J514" s="2">
        <v>0.68000000699999996</v>
      </c>
      <c r="K514" s="2">
        <v>5.3099999430000002</v>
      </c>
      <c r="L514" s="2">
        <v>0</v>
      </c>
      <c r="M514" s="2">
        <v>0</v>
      </c>
      <c r="N514" s="2">
        <v>18</v>
      </c>
      <c r="O514" s="2">
        <v>306</v>
      </c>
      <c r="P514" s="2">
        <v>671</v>
      </c>
      <c r="Q514" s="2">
        <f t="shared" si="42"/>
        <v>324</v>
      </c>
      <c r="R514" s="2">
        <f t="shared" si="40"/>
        <v>995</v>
      </c>
      <c r="S514" t="str">
        <f t="shared" si="39"/>
        <v>Fairly Active</v>
      </c>
      <c r="T514" s="2">
        <v>2220</v>
      </c>
    </row>
    <row r="515" spans="1:20" x14ac:dyDescent="0.25">
      <c r="A515" s="2">
        <v>4319703577</v>
      </c>
      <c r="B515" s="3">
        <v>42481</v>
      </c>
      <c r="C515" t="str">
        <f t="shared" si="41"/>
        <v>Thursday</v>
      </c>
      <c r="D515" t="str">
        <f t="shared" ref="D515:D578" si="43">IF(OR(C515="Saturday", C515="Sunday"), "Weekend", "Weekday")</f>
        <v>Weekday</v>
      </c>
      <c r="E515" s="2">
        <v>3702</v>
      </c>
      <c r="F515" s="2">
        <v>2.4800000190000002</v>
      </c>
      <c r="G515" s="2">
        <v>2.4800000190000002</v>
      </c>
      <c r="H515" s="2">
        <v>0</v>
      </c>
      <c r="I515" s="2">
        <v>0</v>
      </c>
      <c r="J515" s="2">
        <v>0</v>
      </c>
      <c r="K515" s="2">
        <v>0.34999999399999998</v>
      </c>
      <c r="L515" s="2">
        <v>0</v>
      </c>
      <c r="M515" s="2">
        <v>0</v>
      </c>
      <c r="N515" s="2">
        <v>0</v>
      </c>
      <c r="O515" s="2">
        <v>34</v>
      </c>
      <c r="P515" s="2">
        <v>1265</v>
      </c>
      <c r="Q515" s="2">
        <f t="shared" si="42"/>
        <v>34</v>
      </c>
      <c r="R515" s="2">
        <f t="shared" si="40"/>
        <v>1299</v>
      </c>
      <c r="S515" t="str">
        <f t="shared" ref="S515:S578" si="44">IF(E515&lt;5000, "Sedentary", IF(E515&lt;7500, "Lightly Active", IF(E515&lt;10000, "Fairly Active", "Highly Active")))</f>
        <v>Sedentary</v>
      </c>
      <c r="T515" s="2">
        <v>1792</v>
      </c>
    </row>
    <row r="516" spans="1:20" x14ac:dyDescent="0.25">
      <c r="A516" s="2">
        <v>4319703577</v>
      </c>
      <c r="B516" s="3">
        <v>42482</v>
      </c>
      <c r="C516" t="str">
        <f t="shared" si="41"/>
        <v>Friday</v>
      </c>
      <c r="D516" t="str">
        <f t="shared" si="43"/>
        <v>Weekday</v>
      </c>
      <c r="E516" s="2">
        <v>4500</v>
      </c>
      <c r="F516" s="2">
        <v>3.0199999809999998</v>
      </c>
      <c r="G516" s="2">
        <v>3.0199999809999998</v>
      </c>
      <c r="H516" s="2">
        <v>0</v>
      </c>
      <c r="I516" s="2">
        <v>5.9999998999999998E-2</v>
      </c>
      <c r="J516" s="2">
        <v>0.810000002</v>
      </c>
      <c r="K516" s="2">
        <v>2.1500000950000002</v>
      </c>
      <c r="L516" s="2">
        <v>0</v>
      </c>
      <c r="M516" s="2">
        <v>1</v>
      </c>
      <c r="N516" s="2">
        <v>19</v>
      </c>
      <c r="O516" s="2">
        <v>176</v>
      </c>
      <c r="P516" s="2">
        <v>709</v>
      </c>
      <c r="Q516" s="2">
        <f t="shared" si="42"/>
        <v>196</v>
      </c>
      <c r="R516" s="2">
        <f t="shared" si="40"/>
        <v>905</v>
      </c>
      <c r="S516" t="str">
        <f t="shared" si="44"/>
        <v>Sedentary</v>
      </c>
      <c r="T516" s="2">
        <v>1886</v>
      </c>
    </row>
    <row r="517" spans="1:20" x14ac:dyDescent="0.25">
      <c r="A517" s="2">
        <v>4319703577</v>
      </c>
      <c r="B517" s="3">
        <v>42483</v>
      </c>
      <c r="C517" t="str">
        <f t="shared" si="41"/>
        <v>Saturday</v>
      </c>
      <c r="D517" t="str">
        <f t="shared" si="43"/>
        <v>Weekend</v>
      </c>
      <c r="E517" s="2">
        <v>4935</v>
      </c>
      <c r="F517" s="2">
        <v>3.3099999430000002</v>
      </c>
      <c r="G517" s="2">
        <v>3.3099999430000002</v>
      </c>
      <c r="H517" s="2">
        <v>0</v>
      </c>
      <c r="I517" s="2">
        <v>0</v>
      </c>
      <c r="J517" s="2">
        <v>0</v>
      </c>
      <c r="K517" s="2">
        <v>3.3099999430000002</v>
      </c>
      <c r="L517" s="2">
        <v>0</v>
      </c>
      <c r="M517" s="2">
        <v>0</v>
      </c>
      <c r="N517" s="2">
        <v>0</v>
      </c>
      <c r="O517" s="2">
        <v>233</v>
      </c>
      <c r="P517" s="2">
        <v>546</v>
      </c>
      <c r="Q517" s="2">
        <f t="shared" si="42"/>
        <v>233</v>
      </c>
      <c r="R517" s="2">
        <f t="shared" si="40"/>
        <v>779</v>
      </c>
      <c r="S517" t="str">
        <f t="shared" si="44"/>
        <v>Sedentary</v>
      </c>
      <c r="T517" s="2">
        <v>1945</v>
      </c>
    </row>
    <row r="518" spans="1:20" x14ac:dyDescent="0.25">
      <c r="A518" s="2">
        <v>4319703577</v>
      </c>
      <c r="B518" s="3">
        <v>42484</v>
      </c>
      <c r="C518" t="str">
        <f t="shared" si="41"/>
        <v>Sunday</v>
      </c>
      <c r="D518" t="str">
        <f t="shared" si="43"/>
        <v>Weekend</v>
      </c>
      <c r="E518" s="2">
        <v>4081</v>
      </c>
      <c r="F518" s="2">
        <v>2.7400000100000002</v>
      </c>
      <c r="G518" s="2">
        <v>2.7400000100000002</v>
      </c>
      <c r="H518" s="2">
        <v>0</v>
      </c>
      <c r="I518" s="2">
        <v>5.9999998999999998E-2</v>
      </c>
      <c r="J518" s="2">
        <v>0.20000000300000001</v>
      </c>
      <c r="K518" s="2">
        <v>2.4700000289999999</v>
      </c>
      <c r="L518" s="2">
        <v>0</v>
      </c>
      <c r="M518" s="2">
        <v>1</v>
      </c>
      <c r="N518" s="2">
        <v>5</v>
      </c>
      <c r="O518" s="2">
        <v>191</v>
      </c>
      <c r="P518" s="2">
        <v>692</v>
      </c>
      <c r="Q518" s="2">
        <f t="shared" si="42"/>
        <v>197</v>
      </c>
      <c r="R518" s="2">
        <f t="shared" si="40"/>
        <v>889</v>
      </c>
      <c r="S518" t="str">
        <f t="shared" si="44"/>
        <v>Sedentary</v>
      </c>
      <c r="T518" s="2">
        <v>1880</v>
      </c>
    </row>
    <row r="519" spans="1:20" x14ac:dyDescent="0.25">
      <c r="A519" s="2">
        <v>4319703577</v>
      </c>
      <c r="B519" s="3">
        <v>42485</v>
      </c>
      <c r="C519" t="str">
        <f t="shared" si="41"/>
        <v>Monday</v>
      </c>
      <c r="D519" t="str">
        <f t="shared" si="43"/>
        <v>Weekday</v>
      </c>
      <c r="E519" s="2">
        <v>9259</v>
      </c>
      <c r="F519" s="2">
        <v>6.2100000380000004</v>
      </c>
      <c r="G519" s="2">
        <v>6.2100000380000004</v>
      </c>
      <c r="H519" s="2">
        <v>0</v>
      </c>
      <c r="I519" s="2">
        <v>0</v>
      </c>
      <c r="J519" s="2">
        <v>0.280000001</v>
      </c>
      <c r="K519" s="2">
        <v>5.9299998279999997</v>
      </c>
      <c r="L519" s="2">
        <v>0</v>
      </c>
      <c r="M519" s="2">
        <v>0</v>
      </c>
      <c r="N519" s="2">
        <v>8</v>
      </c>
      <c r="O519" s="2">
        <v>390</v>
      </c>
      <c r="P519" s="2">
        <v>544</v>
      </c>
      <c r="Q519" s="2">
        <f t="shared" si="42"/>
        <v>398</v>
      </c>
      <c r="R519" s="2">
        <f t="shared" si="40"/>
        <v>942</v>
      </c>
      <c r="S519" t="str">
        <f t="shared" si="44"/>
        <v>Fairly Active</v>
      </c>
      <c r="T519" s="2">
        <v>2314</v>
      </c>
    </row>
    <row r="520" spans="1:20" x14ac:dyDescent="0.25">
      <c r="A520" s="2">
        <v>4319703577</v>
      </c>
      <c r="B520" s="3">
        <v>42486</v>
      </c>
      <c r="C520" t="str">
        <f t="shared" si="41"/>
        <v>Tuesday</v>
      </c>
      <c r="D520" t="str">
        <f t="shared" si="43"/>
        <v>Weekday</v>
      </c>
      <c r="E520" s="2">
        <v>9899</v>
      </c>
      <c r="F520" s="2">
        <v>6.6399998660000001</v>
      </c>
      <c r="G520" s="2">
        <v>6.6399998660000001</v>
      </c>
      <c r="H520" s="2">
        <v>0</v>
      </c>
      <c r="I520" s="2">
        <v>0.56999999300000004</v>
      </c>
      <c r="J520" s="2">
        <v>0.920000017</v>
      </c>
      <c r="K520" s="2">
        <v>5.1500000950000002</v>
      </c>
      <c r="L520" s="2">
        <v>0</v>
      </c>
      <c r="M520" s="2">
        <v>8</v>
      </c>
      <c r="N520" s="2">
        <v>21</v>
      </c>
      <c r="O520" s="2">
        <v>288</v>
      </c>
      <c r="P520" s="2">
        <v>649</v>
      </c>
      <c r="Q520" s="2">
        <f t="shared" si="42"/>
        <v>317</v>
      </c>
      <c r="R520" s="2">
        <f t="shared" si="40"/>
        <v>966</v>
      </c>
      <c r="S520" t="str">
        <f t="shared" si="44"/>
        <v>Fairly Active</v>
      </c>
      <c r="T520" s="2">
        <v>2236</v>
      </c>
    </row>
    <row r="521" spans="1:20" x14ac:dyDescent="0.25">
      <c r="A521" s="2">
        <v>4319703577</v>
      </c>
      <c r="B521" s="3">
        <v>42487</v>
      </c>
      <c r="C521" t="str">
        <f t="shared" si="41"/>
        <v>Wednesday</v>
      </c>
      <c r="D521" t="str">
        <f t="shared" si="43"/>
        <v>Weekday</v>
      </c>
      <c r="E521" s="2">
        <v>10780</v>
      </c>
      <c r="F521" s="2">
        <v>7.2300000190000002</v>
      </c>
      <c r="G521" s="2">
        <v>7.2300000190000002</v>
      </c>
      <c r="H521" s="2">
        <v>0</v>
      </c>
      <c r="I521" s="2">
        <v>0.40999999599999998</v>
      </c>
      <c r="J521" s="2">
        <v>1.9199999569999999</v>
      </c>
      <c r="K521" s="2">
        <v>4.9099998469999999</v>
      </c>
      <c r="L521" s="2">
        <v>0</v>
      </c>
      <c r="M521" s="2">
        <v>6</v>
      </c>
      <c r="N521" s="2">
        <v>47</v>
      </c>
      <c r="O521" s="2">
        <v>300</v>
      </c>
      <c r="P521" s="2">
        <v>680</v>
      </c>
      <c r="Q521" s="2">
        <f t="shared" si="42"/>
        <v>353</v>
      </c>
      <c r="R521" s="2">
        <f t="shared" si="40"/>
        <v>1033</v>
      </c>
      <c r="S521" t="str">
        <f t="shared" si="44"/>
        <v>Highly Active</v>
      </c>
      <c r="T521" s="2">
        <v>2324</v>
      </c>
    </row>
    <row r="522" spans="1:20" x14ac:dyDescent="0.25">
      <c r="A522" s="2">
        <v>4319703577</v>
      </c>
      <c r="B522" s="3">
        <v>42488</v>
      </c>
      <c r="C522" t="str">
        <f t="shared" si="41"/>
        <v>Thursday</v>
      </c>
      <c r="D522" t="str">
        <f t="shared" si="43"/>
        <v>Weekday</v>
      </c>
      <c r="E522" s="2">
        <v>10817</v>
      </c>
      <c r="F522" s="2">
        <v>7.2800002099999999</v>
      </c>
      <c r="G522" s="2">
        <v>7.2800002099999999</v>
      </c>
      <c r="H522" s="2">
        <v>0</v>
      </c>
      <c r="I522" s="2">
        <v>1.0099999900000001</v>
      </c>
      <c r="J522" s="2">
        <v>0.33000001299999998</v>
      </c>
      <c r="K522" s="2">
        <v>5.9400000569999998</v>
      </c>
      <c r="L522" s="2">
        <v>0</v>
      </c>
      <c r="M522" s="2">
        <v>13</v>
      </c>
      <c r="N522" s="2">
        <v>8</v>
      </c>
      <c r="O522" s="2">
        <v>359</v>
      </c>
      <c r="P522" s="2">
        <v>552</v>
      </c>
      <c r="Q522" s="2">
        <f t="shared" si="42"/>
        <v>380</v>
      </c>
      <c r="R522" s="2">
        <f t="shared" si="40"/>
        <v>932</v>
      </c>
      <c r="S522" t="str">
        <f t="shared" si="44"/>
        <v>Highly Active</v>
      </c>
      <c r="T522" s="2">
        <v>2367</v>
      </c>
    </row>
    <row r="523" spans="1:20" x14ac:dyDescent="0.25">
      <c r="A523" s="2">
        <v>4319703577</v>
      </c>
      <c r="B523" s="3">
        <v>42489</v>
      </c>
      <c r="C523" t="str">
        <f t="shared" si="41"/>
        <v>Friday</v>
      </c>
      <c r="D523" t="str">
        <f t="shared" si="43"/>
        <v>Weekday</v>
      </c>
      <c r="E523" s="2">
        <v>7990</v>
      </c>
      <c r="F523" s="2">
        <v>5.3600001339999999</v>
      </c>
      <c r="G523" s="2">
        <v>5.3600001339999999</v>
      </c>
      <c r="H523" s="2">
        <v>0</v>
      </c>
      <c r="I523" s="2">
        <v>0.44999998800000002</v>
      </c>
      <c r="J523" s="2">
        <v>0.790000021</v>
      </c>
      <c r="K523" s="2">
        <v>4.1199998860000004</v>
      </c>
      <c r="L523" s="2">
        <v>0</v>
      </c>
      <c r="M523" s="2">
        <v>6</v>
      </c>
      <c r="N523" s="2">
        <v>18</v>
      </c>
      <c r="O523" s="2">
        <v>289</v>
      </c>
      <c r="P523" s="2">
        <v>624</v>
      </c>
      <c r="Q523" s="2">
        <f t="shared" si="42"/>
        <v>313</v>
      </c>
      <c r="R523" s="2">
        <f t="shared" si="40"/>
        <v>937</v>
      </c>
      <c r="S523" t="str">
        <f t="shared" si="44"/>
        <v>Fairly Active</v>
      </c>
      <c r="T523" s="2">
        <v>2175</v>
      </c>
    </row>
    <row r="524" spans="1:20" x14ac:dyDescent="0.25">
      <c r="A524" s="2">
        <v>4319703577</v>
      </c>
      <c r="B524" s="3">
        <v>42490</v>
      </c>
      <c r="C524" t="str">
        <f t="shared" si="41"/>
        <v>Saturday</v>
      </c>
      <c r="D524" t="str">
        <f t="shared" si="43"/>
        <v>Weekend</v>
      </c>
      <c r="E524" s="2">
        <v>8221</v>
      </c>
      <c r="F524" s="2">
        <v>5.5199999809999998</v>
      </c>
      <c r="G524" s="2">
        <v>5.5199999809999998</v>
      </c>
      <c r="H524" s="2">
        <v>0</v>
      </c>
      <c r="I524" s="2">
        <v>0.40000000600000002</v>
      </c>
      <c r="J524" s="2">
        <v>1.6100000139999999</v>
      </c>
      <c r="K524" s="2">
        <v>3.5099999899999998</v>
      </c>
      <c r="L524" s="2">
        <v>0</v>
      </c>
      <c r="M524" s="2">
        <v>6</v>
      </c>
      <c r="N524" s="2">
        <v>38</v>
      </c>
      <c r="O524" s="2">
        <v>196</v>
      </c>
      <c r="P524" s="2">
        <v>695</v>
      </c>
      <c r="Q524" s="2">
        <f t="shared" si="42"/>
        <v>240</v>
      </c>
      <c r="R524" s="2">
        <f t="shared" si="40"/>
        <v>935</v>
      </c>
      <c r="S524" t="str">
        <f t="shared" si="44"/>
        <v>Fairly Active</v>
      </c>
      <c r="T524" s="2">
        <v>2092</v>
      </c>
    </row>
    <row r="525" spans="1:20" x14ac:dyDescent="0.25">
      <c r="A525" s="2">
        <v>4319703577</v>
      </c>
      <c r="B525" s="3">
        <v>42491</v>
      </c>
      <c r="C525" t="str">
        <f t="shared" si="41"/>
        <v>Sunday</v>
      </c>
      <c r="D525" t="str">
        <f t="shared" si="43"/>
        <v>Weekend</v>
      </c>
      <c r="E525" s="2">
        <v>1251</v>
      </c>
      <c r="F525" s="2">
        <v>0.83999997400000004</v>
      </c>
      <c r="G525" s="2">
        <v>0.83999997400000004</v>
      </c>
      <c r="H525" s="2">
        <v>0</v>
      </c>
      <c r="I525" s="2">
        <v>0</v>
      </c>
      <c r="J525" s="2">
        <v>0</v>
      </c>
      <c r="K525" s="2">
        <v>0.83999997400000004</v>
      </c>
      <c r="L525" s="2">
        <v>0</v>
      </c>
      <c r="M525" s="2">
        <v>0</v>
      </c>
      <c r="N525" s="2">
        <v>0</v>
      </c>
      <c r="O525" s="2">
        <v>67</v>
      </c>
      <c r="P525" s="2">
        <v>836</v>
      </c>
      <c r="Q525" s="2">
        <f t="shared" si="42"/>
        <v>67</v>
      </c>
      <c r="R525" s="2">
        <f t="shared" si="40"/>
        <v>903</v>
      </c>
      <c r="S525" t="str">
        <f t="shared" si="44"/>
        <v>Sedentary</v>
      </c>
      <c r="T525" s="2">
        <v>1593</v>
      </c>
    </row>
    <row r="526" spans="1:20" x14ac:dyDescent="0.25">
      <c r="A526" s="2">
        <v>4319703577</v>
      </c>
      <c r="B526" s="3">
        <v>42492</v>
      </c>
      <c r="C526" t="str">
        <f t="shared" si="41"/>
        <v>Monday</v>
      </c>
      <c r="D526" t="str">
        <f t="shared" si="43"/>
        <v>Weekday</v>
      </c>
      <c r="E526" s="2">
        <v>9261</v>
      </c>
      <c r="F526" s="2">
        <v>6.2399997709999999</v>
      </c>
      <c r="G526" s="2">
        <v>6.2399997709999999</v>
      </c>
      <c r="H526" s="2">
        <v>0</v>
      </c>
      <c r="I526" s="2">
        <v>0</v>
      </c>
      <c r="J526" s="2">
        <v>0.439999998</v>
      </c>
      <c r="K526" s="2">
        <v>5.7100000380000004</v>
      </c>
      <c r="L526" s="2">
        <v>0</v>
      </c>
      <c r="M526" s="2">
        <v>0</v>
      </c>
      <c r="N526" s="2">
        <v>11</v>
      </c>
      <c r="O526" s="2">
        <v>344</v>
      </c>
      <c r="P526" s="2">
        <v>585</v>
      </c>
      <c r="Q526" s="2">
        <f t="shared" si="42"/>
        <v>355</v>
      </c>
      <c r="R526" s="2">
        <f t="shared" si="40"/>
        <v>940</v>
      </c>
      <c r="S526" t="str">
        <f t="shared" si="44"/>
        <v>Fairly Active</v>
      </c>
      <c r="T526" s="2">
        <v>2270</v>
      </c>
    </row>
    <row r="527" spans="1:20" x14ac:dyDescent="0.25">
      <c r="A527" s="2">
        <v>4319703577</v>
      </c>
      <c r="B527" s="3">
        <v>42493</v>
      </c>
      <c r="C527" t="str">
        <f t="shared" si="41"/>
        <v>Tuesday</v>
      </c>
      <c r="D527" t="str">
        <f t="shared" si="43"/>
        <v>Weekday</v>
      </c>
      <c r="E527" s="2">
        <v>9648</v>
      </c>
      <c r="F527" s="2">
        <v>6.4699997900000001</v>
      </c>
      <c r="G527" s="2">
        <v>6.4699997900000001</v>
      </c>
      <c r="H527" s="2">
        <v>0</v>
      </c>
      <c r="I527" s="2">
        <v>0.579999983</v>
      </c>
      <c r="J527" s="2">
        <v>1.0700000519999999</v>
      </c>
      <c r="K527" s="2">
        <v>4.829999924</v>
      </c>
      <c r="L527" s="2">
        <v>0</v>
      </c>
      <c r="M527" s="2">
        <v>8</v>
      </c>
      <c r="N527" s="2">
        <v>26</v>
      </c>
      <c r="O527" s="2">
        <v>287</v>
      </c>
      <c r="P527" s="2">
        <v>669</v>
      </c>
      <c r="Q527" s="2">
        <f t="shared" si="42"/>
        <v>321</v>
      </c>
      <c r="R527" s="2">
        <f t="shared" si="40"/>
        <v>990</v>
      </c>
      <c r="S527" t="str">
        <f t="shared" si="44"/>
        <v>Fairly Active</v>
      </c>
      <c r="T527" s="2">
        <v>2235</v>
      </c>
    </row>
    <row r="528" spans="1:20" x14ac:dyDescent="0.25">
      <c r="A528" s="2">
        <v>4319703577</v>
      </c>
      <c r="B528" s="3">
        <v>42494</v>
      </c>
      <c r="C528" t="str">
        <f t="shared" si="41"/>
        <v>Wednesday</v>
      </c>
      <c r="D528" t="str">
        <f t="shared" si="43"/>
        <v>Weekday</v>
      </c>
      <c r="E528" s="2">
        <v>10429</v>
      </c>
      <c r="F528" s="2">
        <v>7.0199999809999998</v>
      </c>
      <c r="G528" s="2">
        <v>7.0199999809999998</v>
      </c>
      <c r="H528" s="2">
        <v>0</v>
      </c>
      <c r="I528" s="2">
        <v>0.58999997400000004</v>
      </c>
      <c r="J528" s="2">
        <v>0.579999983</v>
      </c>
      <c r="K528" s="2">
        <v>5.8499999049999998</v>
      </c>
      <c r="L528" s="2">
        <v>0</v>
      </c>
      <c r="M528" s="2">
        <v>8</v>
      </c>
      <c r="N528" s="2">
        <v>13</v>
      </c>
      <c r="O528" s="2">
        <v>313</v>
      </c>
      <c r="P528" s="2">
        <v>1106</v>
      </c>
      <c r="Q528" s="2">
        <f t="shared" si="42"/>
        <v>334</v>
      </c>
      <c r="R528" s="2">
        <f t="shared" si="40"/>
        <v>1440</v>
      </c>
      <c r="S528" t="str">
        <f t="shared" si="44"/>
        <v>Highly Active</v>
      </c>
      <c r="T528" s="2">
        <v>2282</v>
      </c>
    </row>
    <row r="529" spans="1:20" x14ac:dyDescent="0.25">
      <c r="A529" s="2">
        <v>4319703577</v>
      </c>
      <c r="B529" s="3">
        <v>42495</v>
      </c>
      <c r="C529" t="str">
        <f t="shared" si="41"/>
        <v>Thursday</v>
      </c>
      <c r="D529" t="str">
        <f t="shared" si="43"/>
        <v>Weekday</v>
      </c>
      <c r="E529" s="2">
        <v>13658</v>
      </c>
      <c r="F529" s="2">
        <v>9.4899997710000008</v>
      </c>
      <c r="G529" s="2">
        <v>9.4899997710000008</v>
      </c>
      <c r="H529" s="2">
        <v>0</v>
      </c>
      <c r="I529" s="2">
        <v>2.630000114</v>
      </c>
      <c r="J529" s="2">
        <v>1.4099999670000001</v>
      </c>
      <c r="K529" s="2">
        <v>5.4499998090000004</v>
      </c>
      <c r="L529" s="2">
        <v>0</v>
      </c>
      <c r="M529" s="2">
        <v>27</v>
      </c>
      <c r="N529" s="2">
        <v>34</v>
      </c>
      <c r="O529" s="2">
        <v>328</v>
      </c>
      <c r="P529" s="2">
        <v>957</v>
      </c>
      <c r="Q529" s="2">
        <f t="shared" si="42"/>
        <v>389</v>
      </c>
      <c r="R529" s="2">
        <f t="shared" si="40"/>
        <v>1346</v>
      </c>
      <c r="S529" t="str">
        <f t="shared" si="44"/>
        <v>Highly Active</v>
      </c>
      <c r="T529" s="2">
        <v>2530</v>
      </c>
    </row>
    <row r="530" spans="1:20" x14ac:dyDescent="0.25">
      <c r="A530" s="2">
        <v>4319703577</v>
      </c>
      <c r="B530" s="3">
        <v>42496</v>
      </c>
      <c r="C530" t="str">
        <f t="shared" si="41"/>
        <v>Friday</v>
      </c>
      <c r="D530" t="str">
        <f t="shared" si="43"/>
        <v>Weekday</v>
      </c>
      <c r="E530" s="2">
        <v>9524</v>
      </c>
      <c r="F530" s="2">
        <v>6.420000076</v>
      </c>
      <c r="G530" s="2">
        <v>6.420000076</v>
      </c>
      <c r="H530" s="2">
        <v>0</v>
      </c>
      <c r="I530" s="2">
        <v>0.40999999599999998</v>
      </c>
      <c r="J530" s="2">
        <v>0.469999999</v>
      </c>
      <c r="K530" s="2">
        <v>5.4600000380000004</v>
      </c>
      <c r="L530" s="2">
        <v>0</v>
      </c>
      <c r="M530" s="2">
        <v>6</v>
      </c>
      <c r="N530" s="2">
        <v>11</v>
      </c>
      <c r="O530" s="2">
        <v>314</v>
      </c>
      <c r="P530" s="2">
        <v>692</v>
      </c>
      <c r="Q530" s="2">
        <f t="shared" si="42"/>
        <v>331</v>
      </c>
      <c r="R530" s="2">
        <f t="shared" si="40"/>
        <v>1023</v>
      </c>
      <c r="S530" t="str">
        <f t="shared" si="44"/>
        <v>Fairly Active</v>
      </c>
      <c r="T530" s="2">
        <v>2266</v>
      </c>
    </row>
    <row r="531" spans="1:20" x14ac:dyDescent="0.25">
      <c r="A531" s="2">
        <v>4319703577</v>
      </c>
      <c r="B531" s="3">
        <v>42497</v>
      </c>
      <c r="C531" t="str">
        <f t="shared" si="41"/>
        <v>Saturday</v>
      </c>
      <c r="D531" t="str">
        <f t="shared" si="43"/>
        <v>Weekend</v>
      </c>
      <c r="E531" s="2">
        <v>7937</v>
      </c>
      <c r="F531" s="2">
        <v>5.329999924</v>
      </c>
      <c r="G531" s="2">
        <v>5.329999924</v>
      </c>
      <c r="H531" s="2">
        <v>0</v>
      </c>
      <c r="I531" s="2">
        <v>0.189999998</v>
      </c>
      <c r="J531" s="2">
        <v>1.0499999520000001</v>
      </c>
      <c r="K531" s="2">
        <v>4.079999924</v>
      </c>
      <c r="L531" s="2">
        <v>0</v>
      </c>
      <c r="M531" s="2">
        <v>3</v>
      </c>
      <c r="N531" s="2">
        <v>28</v>
      </c>
      <c r="O531" s="2">
        <v>279</v>
      </c>
      <c r="P531" s="2">
        <v>586</v>
      </c>
      <c r="Q531" s="2">
        <f t="shared" si="42"/>
        <v>310</v>
      </c>
      <c r="R531" s="2">
        <f t="shared" si="40"/>
        <v>896</v>
      </c>
      <c r="S531" t="str">
        <f t="shared" si="44"/>
        <v>Fairly Active</v>
      </c>
      <c r="T531" s="2">
        <v>2158</v>
      </c>
    </row>
    <row r="532" spans="1:20" x14ac:dyDescent="0.25">
      <c r="A532" s="2">
        <v>4319703577</v>
      </c>
      <c r="B532" s="3">
        <v>42498</v>
      </c>
      <c r="C532" t="str">
        <f t="shared" si="41"/>
        <v>Sunday</v>
      </c>
      <c r="D532" t="str">
        <f t="shared" si="43"/>
        <v>Weekend</v>
      </c>
      <c r="E532" s="2">
        <v>3672</v>
      </c>
      <c r="F532" s="2">
        <v>2.460000038</v>
      </c>
      <c r="G532" s="2">
        <v>2.460000038</v>
      </c>
      <c r="H532" s="2">
        <v>0</v>
      </c>
      <c r="I532" s="2">
        <v>0</v>
      </c>
      <c r="J532" s="2">
        <v>0</v>
      </c>
      <c r="K532" s="2">
        <v>2.460000038</v>
      </c>
      <c r="L532" s="2">
        <v>0</v>
      </c>
      <c r="M532" s="2">
        <v>0</v>
      </c>
      <c r="N532" s="2">
        <v>0</v>
      </c>
      <c r="O532" s="2">
        <v>153</v>
      </c>
      <c r="P532" s="2">
        <v>603</v>
      </c>
      <c r="Q532" s="2">
        <f t="shared" si="42"/>
        <v>153</v>
      </c>
      <c r="R532" s="2">
        <f t="shared" si="40"/>
        <v>756</v>
      </c>
      <c r="S532" t="str">
        <f t="shared" si="44"/>
        <v>Sedentary</v>
      </c>
      <c r="T532" s="2">
        <v>1792</v>
      </c>
    </row>
    <row r="533" spans="1:20" x14ac:dyDescent="0.25">
      <c r="A533" s="2">
        <v>4319703577</v>
      </c>
      <c r="B533" s="3">
        <v>42499</v>
      </c>
      <c r="C533" t="str">
        <f t="shared" si="41"/>
        <v>Monday</v>
      </c>
      <c r="D533" t="str">
        <f t="shared" si="43"/>
        <v>Weekday</v>
      </c>
      <c r="E533" s="2">
        <v>10378</v>
      </c>
      <c r="F533" s="2">
        <v>6.9600000380000004</v>
      </c>
      <c r="G533" s="2">
        <v>6.9600000380000004</v>
      </c>
      <c r="H533" s="2">
        <v>0</v>
      </c>
      <c r="I533" s="2">
        <v>0.14000000100000001</v>
      </c>
      <c r="J533" s="2">
        <v>0.560000002</v>
      </c>
      <c r="K533" s="2">
        <v>6.25</v>
      </c>
      <c r="L533" s="2">
        <v>0</v>
      </c>
      <c r="M533" s="2">
        <v>2</v>
      </c>
      <c r="N533" s="2">
        <v>14</v>
      </c>
      <c r="O533" s="2">
        <v>374</v>
      </c>
      <c r="P533" s="2">
        <v>490</v>
      </c>
      <c r="Q533" s="2">
        <f t="shared" si="42"/>
        <v>390</v>
      </c>
      <c r="R533" s="2">
        <f t="shared" si="40"/>
        <v>880</v>
      </c>
      <c r="S533" t="str">
        <f t="shared" si="44"/>
        <v>Highly Active</v>
      </c>
      <c r="T533" s="2">
        <v>2345</v>
      </c>
    </row>
    <row r="534" spans="1:20" x14ac:dyDescent="0.25">
      <c r="A534" s="2">
        <v>4319703577</v>
      </c>
      <c r="B534" s="3">
        <v>42500</v>
      </c>
      <c r="C534" t="str">
        <f t="shared" si="41"/>
        <v>Tuesday</v>
      </c>
      <c r="D534" t="str">
        <f t="shared" si="43"/>
        <v>Weekday</v>
      </c>
      <c r="E534" s="2">
        <v>9487</v>
      </c>
      <c r="F534" s="2">
        <v>6.3699998860000004</v>
      </c>
      <c r="G534" s="2">
        <v>6.3699998860000004</v>
      </c>
      <c r="H534" s="2">
        <v>0</v>
      </c>
      <c r="I534" s="2">
        <v>0.209999993</v>
      </c>
      <c r="J534" s="2">
        <v>0.46000000800000002</v>
      </c>
      <c r="K534" s="2">
        <v>5.6999998090000004</v>
      </c>
      <c r="L534" s="2">
        <v>0</v>
      </c>
      <c r="M534" s="2">
        <v>3</v>
      </c>
      <c r="N534" s="2">
        <v>12</v>
      </c>
      <c r="O534" s="2">
        <v>329</v>
      </c>
      <c r="P534" s="2">
        <v>555</v>
      </c>
      <c r="Q534" s="2">
        <f t="shared" si="42"/>
        <v>344</v>
      </c>
      <c r="R534" s="2">
        <f t="shared" si="40"/>
        <v>899</v>
      </c>
      <c r="S534" t="str">
        <f t="shared" si="44"/>
        <v>Fairly Active</v>
      </c>
      <c r="T534" s="2">
        <v>2260</v>
      </c>
    </row>
    <row r="535" spans="1:20" x14ac:dyDescent="0.25">
      <c r="A535" s="2">
        <v>4319703577</v>
      </c>
      <c r="B535" s="3">
        <v>42501</v>
      </c>
      <c r="C535" t="str">
        <f t="shared" si="41"/>
        <v>Wednesday</v>
      </c>
      <c r="D535" t="str">
        <f t="shared" si="43"/>
        <v>Weekday</v>
      </c>
      <c r="E535" s="2">
        <v>9129</v>
      </c>
      <c r="F535" s="2">
        <v>6.1300001139999996</v>
      </c>
      <c r="G535" s="2">
        <v>6.1300001139999996</v>
      </c>
      <c r="H535" s="2">
        <v>0</v>
      </c>
      <c r="I535" s="2">
        <v>0.20000000300000001</v>
      </c>
      <c r="J535" s="2">
        <v>0.74000001000000004</v>
      </c>
      <c r="K535" s="2">
        <v>5.1799998279999997</v>
      </c>
      <c r="L535" s="2">
        <v>0</v>
      </c>
      <c r="M535" s="2">
        <v>3</v>
      </c>
      <c r="N535" s="2">
        <v>18</v>
      </c>
      <c r="O535" s="2">
        <v>311</v>
      </c>
      <c r="P535" s="2">
        <v>574</v>
      </c>
      <c r="Q535" s="2">
        <f t="shared" si="42"/>
        <v>332</v>
      </c>
      <c r="R535" s="2">
        <f t="shared" si="40"/>
        <v>906</v>
      </c>
      <c r="S535" t="str">
        <f t="shared" si="44"/>
        <v>Fairly Active</v>
      </c>
      <c r="T535" s="2">
        <v>2232</v>
      </c>
    </row>
    <row r="536" spans="1:20" x14ac:dyDescent="0.25">
      <c r="A536" s="2">
        <v>4388161847</v>
      </c>
      <c r="B536" s="3">
        <v>42473</v>
      </c>
      <c r="C536" t="str">
        <f t="shared" si="41"/>
        <v>Wednesday</v>
      </c>
      <c r="D536" t="str">
        <f t="shared" si="43"/>
        <v>Weekday</v>
      </c>
      <c r="E536" s="2">
        <v>10993</v>
      </c>
      <c r="F536" s="2">
        <v>8.4499998089999995</v>
      </c>
      <c r="G536" s="2">
        <v>8.4499998089999995</v>
      </c>
      <c r="H536" s="2">
        <v>0</v>
      </c>
      <c r="I536" s="2">
        <v>5.9999998999999998E-2</v>
      </c>
      <c r="J536" s="2">
        <v>0.62999999500000003</v>
      </c>
      <c r="K536" s="2">
        <v>3.880000114</v>
      </c>
      <c r="L536" s="2">
        <v>0</v>
      </c>
      <c r="M536" s="2">
        <v>1</v>
      </c>
      <c r="N536" s="2">
        <v>14</v>
      </c>
      <c r="O536" s="2">
        <v>150</v>
      </c>
      <c r="P536" s="2">
        <v>1275</v>
      </c>
      <c r="Q536" s="2">
        <f t="shared" si="42"/>
        <v>165</v>
      </c>
      <c r="R536" s="2">
        <f t="shared" si="40"/>
        <v>1440</v>
      </c>
      <c r="S536" t="str">
        <f t="shared" si="44"/>
        <v>Highly Active</v>
      </c>
      <c r="T536" s="2">
        <v>3092</v>
      </c>
    </row>
    <row r="537" spans="1:20" x14ac:dyDescent="0.25">
      <c r="A537" s="2">
        <v>4388161847</v>
      </c>
      <c r="B537" s="3">
        <v>42474</v>
      </c>
      <c r="C537" t="str">
        <f t="shared" si="41"/>
        <v>Thursday</v>
      </c>
      <c r="D537" t="str">
        <f t="shared" si="43"/>
        <v>Weekday</v>
      </c>
      <c r="E537" s="2">
        <v>8863</v>
      </c>
      <c r="F537" s="2">
        <v>6.8200001720000003</v>
      </c>
      <c r="G537" s="2">
        <v>6.8200001720000003</v>
      </c>
      <c r="H537" s="2">
        <v>0</v>
      </c>
      <c r="I537" s="2">
        <v>0.12999999500000001</v>
      </c>
      <c r="J537" s="2">
        <v>1.0700000519999999</v>
      </c>
      <c r="K537" s="2">
        <v>5.6199998860000004</v>
      </c>
      <c r="L537" s="2">
        <v>0</v>
      </c>
      <c r="M537" s="2">
        <v>10</v>
      </c>
      <c r="N537" s="2">
        <v>35</v>
      </c>
      <c r="O537" s="2">
        <v>219</v>
      </c>
      <c r="P537" s="2">
        <v>945</v>
      </c>
      <c r="Q537" s="2">
        <f t="shared" si="42"/>
        <v>264</v>
      </c>
      <c r="R537" s="2">
        <f t="shared" si="40"/>
        <v>1209</v>
      </c>
      <c r="S537" t="str">
        <f t="shared" si="44"/>
        <v>Fairly Active</v>
      </c>
      <c r="T537" s="2">
        <v>2998</v>
      </c>
    </row>
    <row r="538" spans="1:20" x14ac:dyDescent="0.25">
      <c r="A538" s="2">
        <v>4388161847</v>
      </c>
      <c r="B538" s="3">
        <v>42475</v>
      </c>
      <c r="C538" t="str">
        <f t="shared" si="41"/>
        <v>Friday</v>
      </c>
      <c r="D538" t="str">
        <f t="shared" si="43"/>
        <v>Weekday</v>
      </c>
      <c r="E538" s="2">
        <v>8758</v>
      </c>
      <c r="F538" s="2">
        <v>6.7300000190000002</v>
      </c>
      <c r="G538" s="2">
        <v>6.7300000190000002</v>
      </c>
      <c r="H538" s="2">
        <v>0</v>
      </c>
      <c r="I538" s="2">
        <v>0</v>
      </c>
      <c r="J538" s="2">
        <v>0</v>
      </c>
      <c r="K538" s="2">
        <v>6.7300000190000002</v>
      </c>
      <c r="L538" s="2">
        <v>0</v>
      </c>
      <c r="M538" s="2">
        <v>0</v>
      </c>
      <c r="N538" s="2">
        <v>0</v>
      </c>
      <c r="O538" s="2">
        <v>299</v>
      </c>
      <c r="P538" s="2">
        <v>837</v>
      </c>
      <c r="Q538" s="2">
        <f t="shared" si="42"/>
        <v>299</v>
      </c>
      <c r="R538" s="2">
        <f t="shared" si="40"/>
        <v>1136</v>
      </c>
      <c r="S538" t="str">
        <f t="shared" si="44"/>
        <v>Fairly Active</v>
      </c>
      <c r="T538" s="2">
        <v>3066</v>
      </c>
    </row>
    <row r="539" spans="1:20" x14ac:dyDescent="0.25">
      <c r="A539" s="2">
        <v>4388161847</v>
      </c>
      <c r="B539" s="3">
        <v>42476</v>
      </c>
      <c r="C539" t="str">
        <f t="shared" si="41"/>
        <v>Saturday</v>
      </c>
      <c r="D539" t="str">
        <f t="shared" si="43"/>
        <v>Weekend</v>
      </c>
      <c r="E539" s="2">
        <v>6580</v>
      </c>
      <c r="F539" s="2">
        <v>5.0599999430000002</v>
      </c>
      <c r="G539" s="2">
        <v>5.0599999430000002</v>
      </c>
      <c r="H539" s="2">
        <v>0</v>
      </c>
      <c r="I539" s="2">
        <v>0.209999993</v>
      </c>
      <c r="J539" s="2">
        <v>0.40000000600000002</v>
      </c>
      <c r="K539" s="2">
        <v>4.4499998090000004</v>
      </c>
      <c r="L539" s="2">
        <v>0</v>
      </c>
      <c r="M539" s="2">
        <v>6</v>
      </c>
      <c r="N539" s="2">
        <v>9</v>
      </c>
      <c r="O539" s="2">
        <v>253</v>
      </c>
      <c r="P539" s="2">
        <v>609</v>
      </c>
      <c r="Q539" s="2">
        <f t="shared" si="42"/>
        <v>268</v>
      </c>
      <c r="R539" s="2">
        <f t="shared" si="40"/>
        <v>877</v>
      </c>
      <c r="S539" t="str">
        <f t="shared" si="44"/>
        <v>Lightly Active</v>
      </c>
      <c r="T539" s="2">
        <v>3073</v>
      </c>
    </row>
    <row r="540" spans="1:20" x14ac:dyDescent="0.25">
      <c r="A540" s="2">
        <v>4388161847</v>
      </c>
      <c r="B540" s="3">
        <v>42477</v>
      </c>
      <c r="C540" t="str">
        <f t="shared" si="41"/>
        <v>Sunday</v>
      </c>
      <c r="D540" t="str">
        <f t="shared" si="43"/>
        <v>Weekend</v>
      </c>
      <c r="E540" s="2">
        <v>4660</v>
      </c>
      <c r="F540" s="2">
        <v>3.579999924</v>
      </c>
      <c r="G540" s="2">
        <v>3.579999924</v>
      </c>
      <c r="H540" s="2">
        <v>0</v>
      </c>
      <c r="I540" s="2">
        <v>0</v>
      </c>
      <c r="J540" s="2">
        <v>0</v>
      </c>
      <c r="K540" s="2">
        <v>3.579999924</v>
      </c>
      <c r="L540" s="2">
        <v>0</v>
      </c>
      <c r="M540" s="2">
        <v>0</v>
      </c>
      <c r="N540" s="2">
        <v>0</v>
      </c>
      <c r="O540" s="2">
        <v>201</v>
      </c>
      <c r="P540" s="2">
        <v>721</v>
      </c>
      <c r="Q540" s="2">
        <f t="shared" si="42"/>
        <v>201</v>
      </c>
      <c r="R540" s="2">
        <f t="shared" si="40"/>
        <v>922</v>
      </c>
      <c r="S540" t="str">
        <f t="shared" si="44"/>
        <v>Sedentary</v>
      </c>
      <c r="T540" s="2">
        <v>2572</v>
      </c>
    </row>
    <row r="541" spans="1:20" x14ac:dyDescent="0.25">
      <c r="A541" s="2">
        <v>4388161847</v>
      </c>
      <c r="B541" s="3">
        <v>42478</v>
      </c>
      <c r="C541" t="str">
        <f t="shared" si="41"/>
        <v>Monday</v>
      </c>
      <c r="D541" t="str">
        <f t="shared" si="43"/>
        <v>Weekday</v>
      </c>
      <c r="E541" s="2">
        <v>11009</v>
      </c>
      <c r="F541" s="2">
        <v>9.1000003809999992</v>
      </c>
      <c r="G541" s="2">
        <v>9.1000003809999992</v>
      </c>
      <c r="H541" s="2">
        <v>0</v>
      </c>
      <c r="I541" s="2">
        <v>3.5599999430000002</v>
      </c>
      <c r="J541" s="2">
        <v>0.40000000600000002</v>
      </c>
      <c r="K541" s="2">
        <v>5.1399998660000001</v>
      </c>
      <c r="L541" s="2">
        <v>0</v>
      </c>
      <c r="M541" s="2">
        <v>27</v>
      </c>
      <c r="N541" s="2">
        <v>8</v>
      </c>
      <c r="O541" s="2">
        <v>239</v>
      </c>
      <c r="P541" s="2">
        <v>1017</v>
      </c>
      <c r="Q541" s="2">
        <f t="shared" si="42"/>
        <v>274</v>
      </c>
      <c r="R541" s="2">
        <f t="shared" si="40"/>
        <v>1291</v>
      </c>
      <c r="S541" t="str">
        <f t="shared" si="44"/>
        <v>Highly Active</v>
      </c>
      <c r="T541" s="2">
        <v>3274</v>
      </c>
    </row>
    <row r="542" spans="1:20" x14ac:dyDescent="0.25">
      <c r="A542" s="2">
        <v>4388161847</v>
      </c>
      <c r="B542" s="3">
        <v>42479</v>
      </c>
      <c r="C542" t="str">
        <f t="shared" si="41"/>
        <v>Tuesday</v>
      </c>
      <c r="D542" t="str">
        <f t="shared" si="43"/>
        <v>Weekday</v>
      </c>
      <c r="E542" s="2">
        <v>10181</v>
      </c>
      <c r="F542" s="2">
        <v>7.829999924</v>
      </c>
      <c r="G542" s="2">
        <v>7.829999924</v>
      </c>
      <c r="H542" s="2">
        <v>0</v>
      </c>
      <c r="I542" s="2">
        <v>1.3700000050000001</v>
      </c>
      <c r="J542" s="2">
        <v>0.689999998</v>
      </c>
      <c r="K542" s="2">
        <v>5.7699999809999998</v>
      </c>
      <c r="L542" s="2">
        <v>0</v>
      </c>
      <c r="M542" s="2">
        <v>20</v>
      </c>
      <c r="N542" s="2">
        <v>16</v>
      </c>
      <c r="O542" s="2">
        <v>249</v>
      </c>
      <c r="P542" s="2">
        <v>704</v>
      </c>
      <c r="Q542" s="2">
        <f t="shared" si="42"/>
        <v>285</v>
      </c>
      <c r="R542" s="2">
        <f t="shared" si="40"/>
        <v>989</v>
      </c>
      <c r="S542" t="str">
        <f t="shared" si="44"/>
        <v>Highly Active</v>
      </c>
      <c r="T542" s="2">
        <v>3015</v>
      </c>
    </row>
    <row r="543" spans="1:20" x14ac:dyDescent="0.25">
      <c r="A543" s="2">
        <v>4388161847</v>
      </c>
      <c r="B543" s="3">
        <v>42480</v>
      </c>
      <c r="C543" t="str">
        <f t="shared" si="41"/>
        <v>Wednesday</v>
      </c>
      <c r="D543" t="str">
        <f t="shared" si="43"/>
        <v>Weekday</v>
      </c>
      <c r="E543" s="2">
        <v>10553</v>
      </c>
      <c r="F543" s="2">
        <v>8.1199998860000004</v>
      </c>
      <c r="G543" s="2">
        <v>8.1199998860000004</v>
      </c>
      <c r="H543" s="2">
        <v>0</v>
      </c>
      <c r="I543" s="2">
        <v>1.1000000240000001</v>
      </c>
      <c r="J543" s="2">
        <v>1.7200000289999999</v>
      </c>
      <c r="K543" s="2">
        <v>5.2899999619999996</v>
      </c>
      <c r="L543" s="2">
        <v>0</v>
      </c>
      <c r="M543" s="2">
        <v>19</v>
      </c>
      <c r="N543" s="2">
        <v>42</v>
      </c>
      <c r="O543" s="2">
        <v>228</v>
      </c>
      <c r="P543" s="2">
        <v>696</v>
      </c>
      <c r="Q543" s="2">
        <f t="shared" si="42"/>
        <v>289</v>
      </c>
      <c r="R543" s="2">
        <f t="shared" si="40"/>
        <v>985</v>
      </c>
      <c r="S543" t="str">
        <f t="shared" si="44"/>
        <v>Highly Active</v>
      </c>
      <c r="T543" s="2">
        <v>3083</v>
      </c>
    </row>
    <row r="544" spans="1:20" x14ac:dyDescent="0.25">
      <c r="A544" s="2">
        <v>4388161847</v>
      </c>
      <c r="B544" s="3">
        <v>42481</v>
      </c>
      <c r="C544" t="str">
        <f t="shared" si="41"/>
        <v>Thursday</v>
      </c>
      <c r="D544" t="str">
        <f t="shared" si="43"/>
        <v>Weekday</v>
      </c>
      <c r="E544" s="2">
        <v>10055</v>
      </c>
      <c r="F544" s="2">
        <v>7.7300000190000002</v>
      </c>
      <c r="G544" s="2">
        <v>7.7300000190000002</v>
      </c>
      <c r="H544" s="2">
        <v>0</v>
      </c>
      <c r="I544" s="2">
        <v>0.37000000500000002</v>
      </c>
      <c r="J544" s="2">
        <v>0.38999998600000002</v>
      </c>
      <c r="K544" s="2">
        <v>6.9800000190000002</v>
      </c>
      <c r="L544" s="2">
        <v>0</v>
      </c>
      <c r="M544" s="2">
        <v>7</v>
      </c>
      <c r="N544" s="2">
        <v>12</v>
      </c>
      <c r="O544" s="2">
        <v>272</v>
      </c>
      <c r="P544" s="2">
        <v>853</v>
      </c>
      <c r="Q544" s="2">
        <f t="shared" si="42"/>
        <v>291</v>
      </c>
      <c r="R544" s="2">
        <f t="shared" si="40"/>
        <v>1144</v>
      </c>
      <c r="S544" t="str">
        <f t="shared" si="44"/>
        <v>Highly Active</v>
      </c>
      <c r="T544" s="2">
        <v>3069</v>
      </c>
    </row>
    <row r="545" spans="1:20" x14ac:dyDescent="0.25">
      <c r="A545" s="2">
        <v>4388161847</v>
      </c>
      <c r="B545" s="3">
        <v>42482</v>
      </c>
      <c r="C545" t="str">
        <f t="shared" si="41"/>
        <v>Friday</v>
      </c>
      <c r="D545" t="str">
        <f t="shared" si="43"/>
        <v>Weekday</v>
      </c>
      <c r="E545" s="2">
        <v>12139</v>
      </c>
      <c r="F545" s="2">
        <v>9.3400001530000001</v>
      </c>
      <c r="G545" s="2">
        <v>9.3400001530000001</v>
      </c>
      <c r="H545" s="2">
        <v>0</v>
      </c>
      <c r="I545" s="2">
        <v>3.2999999519999998</v>
      </c>
      <c r="J545" s="2">
        <v>1.1100000139999999</v>
      </c>
      <c r="K545" s="2">
        <v>4.920000076</v>
      </c>
      <c r="L545" s="2">
        <v>0</v>
      </c>
      <c r="M545" s="2">
        <v>77</v>
      </c>
      <c r="N545" s="2">
        <v>25</v>
      </c>
      <c r="O545" s="2">
        <v>220</v>
      </c>
      <c r="P545" s="2">
        <v>945</v>
      </c>
      <c r="Q545" s="2">
        <f t="shared" si="42"/>
        <v>322</v>
      </c>
      <c r="R545" s="2">
        <f t="shared" si="40"/>
        <v>1267</v>
      </c>
      <c r="S545" t="str">
        <f t="shared" si="44"/>
        <v>Highly Active</v>
      </c>
      <c r="T545" s="2">
        <v>3544</v>
      </c>
    </row>
    <row r="546" spans="1:20" x14ac:dyDescent="0.25">
      <c r="A546" s="2">
        <v>4388161847</v>
      </c>
      <c r="B546" s="3">
        <v>42483</v>
      </c>
      <c r="C546" t="str">
        <f t="shared" si="41"/>
        <v>Saturday</v>
      </c>
      <c r="D546" t="str">
        <f t="shared" si="43"/>
        <v>Weekend</v>
      </c>
      <c r="E546" s="2">
        <v>13236</v>
      </c>
      <c r="F546" s="2">
        <v>10.18000031</v>
      </c>
      <c r="G546" s="2">
        <v>10.18000031</v>
      </c>
      <c r="H546" s="2">
        <v>0</v>
      </c>
      <c r="I546" s="2">
        <v>4.5</v>
      </c>
      <c r="J546" s="2">
        <v>0.31999999299999998</v>
      </c>
      <c r="K546" s="2">
        <v>5.3499999049999998</v>
      </c>
      <c r="L546" s="2">
        <v>0</v>
      </c>
      <c r="M546" s="2">
        <v>58</v>
      </c>
      <c r="N546" s="2">
        <v>5</v>
      </c>
      <c r="O546" s="2">
        <v>215</v>
      </c>
      <c r="P546" s="2">
        <v>749</v>
      </c>
      <c r="Q546" s="2">
        <f t="shared" si="42"/>
        <v>278</v>
      </c>
      <c r="R546" s="2">
        <f t="shared" si="40"/>
        <v>1027</v>
      </c>
      <c r="S546" t="str">
        <f t="shared" si="44"/>
        <v>Highly Active</v>
      </c>
      <c r="T546" s="2">
        <v>3306</v>
      </c>
    </row>
    <row r="547" spans="1:20" x14ac:dyDescent="0.25">
      <c r="A547" s="2">
        <v>4388161847</v>
      </c>
      <c r="B547" s="3">
        <v>42484</v>
      </c>
      <c r="C547" t="str">
        <f t="shared" si="41"/>
        <v>Sunday</v>
      </c>
      <c r="D547" t="str">
        <f t="shared" si="43"/>
        <v>Weekend</v>
      </c>
      <c r="E547" s="2">
        <v>10243</v>
      </c>
      <c r="F547" s="2">
        <v>7.8800001139999996</v>
      </c>
      <c r="G547" s="2">
        <v>7.8800001139999996</v>
      </c>
      <c r="H547" s="2">
        <v>0</v>
      </c>
      <c r="I547" s="2">
        <v>1.0800000430000001</v>
      </c>
      <c r="J547" s="2">
        <v>0.50999998999999996</v>
      </c>
      <c r="K547" s="2">
        <v>6.3000001909999996</v>
      </c>
      <c r="L547" s="2">
        <v>0</v>
      </c>
      <c r="M547" s="2">
        <v>14</v>
      </c>
      <c r="N547" s="2">
        <v>8</v>
      </c>
      <c r="O547" s="2">
        <v>239</v>
      </c>
      <c r="P547" s="2">
        <v>584</v>
      </c>
      <c r="Q547" s="2">
        <f t="shared" si="42"/>
        <v>261</v>
      </c>
      <c r="R547" s="2">
        <f t="shared" si="40"/>
        <v>845</v>
      </c>
      <c r="S547" t="str">
        <f t="shared" si="44"/>
        <v>Highly Active</v>
      </c>
      <c r="T547" s="2">
        <v>2885</v>
      </c>
    </row>
    <row r="548" spans="1:20" x14ac:dyDescent="0.25">
      <c r="A548" s="2">
        <v>4388161847</v>
      </c>
      <c r="B548" s="3">
        <v>42485</v>
      </c>
      <c r="C548" t="str">
        <f t="shared" si="41"/>
        <v>Monday</v>
      </c>
      <c r="D548" t="str">
        <f t="shared" si="43"/>
        <v>Weekday</v>
      </c>
      <c r="E548" s="2">
        <v>12961</v>
      </c>
      <c r="F548" s="2">
        <v>9.9700002669999996</v>
      </c>
      <c r="G548" s="2">
        <v>9.9700002669999996</v>
      </c>
      <c r="H548" s="2">
        <v>0</v>
      </c>
      <c r="I548" s="2">
        <v>0.730000019</v>
      </c>
      <c r="J548" s="2">
        <v>1.3999999759999999</v>
      </c>
      <c r="K548" s="2">
        <v>7.8400001530000001</v>
      </c>
      <c r="L548" s="2">
        <v>0</v>
      </c>
      <c r="M548" s="2">
        <v>11</v>
      </c>
      <c r="N548" s="2">
        <v>31</v>
      </c>
      <c r="O548" s="2">
        <v>301</v>
      </c>
      <c r="P548" s="2">
        <v>1054</v>
      </c>
      <c r="Q548" s="2">
        <f t="shared" si="42"/>
        <v>343</v>
      </c>
      <c r="R548" s="2">
        <f t="shared" si="40"/>
        <v>1397</v>
      </c>
      <c r="S548" t="str">
        <f t="shared" si="44"/>
        <v>Highly Active</v>
      </c>
      <c r="T548" s="2">
        <v>3288</v>
      </c>
    </row>
    <row r="549" spans="1:20" x14ac:dyDescent="0.25">
      <c r="A549" s="2">
        <v>4388161847</v>
      </c>
      <c r="B549" s="3">
        <v>42486</v>
      </c>
      <c r="C549" t="str">
        <f t="shared" si="41"/>
        <v>Tuesday</v>
      </c>
      <c r="D549" t="str">
        <f t="shared" si="43"/>
        <v>Weekday</v>
      </c>
      <c r="E549" s="2">
        <v>9461</v>
      </c>
      <c r="F549" s="2">
        <v>7.2800002099999999</v>
      </c>
      <c r="G549" s="2">
        <v>7.2800002099999999</v>
      </c>
      <c r="H549" s="2">
        <v>0</v>
      </c>
      <c r="I549" s="2">
        <v>0.939999998</v>
      </c>
      <c r="J549" s="2">
        <v>1.059999943</v>
      </c>
      <c r="K549" s="2">
        <v>5.2699999809999998</v>
      </c>
      <c r="L549" s="2">
        <v>0</v>
      </c>
      <c r="M549" s="2">
        <v>14</v>
      </c>
      <c r="N549" s="2">
        <v>23</v>
      </c>
      <c r="O549" s="2">
        <v>224</v>
      </c>
      <c r="P549" s="2">
        <v>673</v>
      </c>
      <c r="Q549" s="2">
        <f t="shared" si="42"/>
        <v>261</v>
      </c>
      <c r="R549" s="2">
        <f t="shared" si="40"/>
        <v>934</v>
      </c>
      <c r="S549" t="str">
        <f t="shared" si="44"/>
        <v>Fairly Active</v>
      </c>
      <c r="T549" s="2">
        <v>2929</v>
      </c>
    </row>
    <row r="550" spans="1:20" x14ac:dyDescent="0.25">
      <c r="A550" s="2">
        <v>4388161847</v>
      </c>
      <c r="B550" s="3">
        <v>42487</v>
      </c>
      <c r="C550" t="str">
        <f t="shared" si="41"/>
        <v>Wednesday</v>
      </c>
      <c r="D550" t="str">
        <f t="shared" si="43"/>
        <v>Weekday</v>
      </c>
      <c r="E550" s="2">
        <v>11193</v>
      </c>
      <c r="F550" s="2">
        <v>8.6099996569999995</v>
      </c>
      <c r="G550" s="2">
        <v>8.6099996569999995</v>
      </c>
      <c r="H550" s="2">
        <v>0</v>
      </c>
      <c r="I550" s="2">
        <v>0.69999998799999996</v>
      </c>
      <c r="J550" s="2">
        <v>2.5099999899999998</v>
      </c>
      <c r="K550" s="2">
        <v>5.3899998660000001</v>
      </c>
      <c r="L550" s="2">
        <v>0</v>
      </c>
      <c r="M550" s="2">
        <v>11</v>
      </c>
      <c r="N550" s="2">
        <v>48</v>
      </c>
      <c r="O550" s="2">
        <v>241</v>
      </c>
      <c r="P550" s="2">
        <v>684</v>
      </c>
      <c r="Q550" s="2">
        <f t="shared" si="42"/>
        <v>300</v>
      </c>
      <c r="R550" s="2">
        <f t="shared" si="40"/>
        <v>984</v>
      </c>
      <c r="S550" t="str">
        <f t="shared" si="44"/>
        <v>Highly Active</v>
      </c>
      <c r="T550" s="2">
        <v>3074</v>
      </c>
    </row>
    <row r="551" spans="1:20" x14ac:dyDescent="0.25">
      <c r="A551" s="2">
        <v>4388161847</v>
      </c>
      <c r="B551" s="3">
        <v>42488</v>
      </c>
      <c r="C551" t="str">
        <f t="shared" si="41"/>
        <v>Thursday</v>
      </c>
      <c r="D551" t="str">
        <f t="shared" si="43"/>
        <v>Weekday</v>
      </c>
      <c r="E551" s="2">
        <v>10074</v>
      </c>
      <c r="F551" s="2">
        <v>7.75</v>
      </c>
      <c r="G551" s="2">
        <v>7.75</v>
      </c>
      <c r="H551" s="2">
        <v>0</v>
      </c>
      <c r="I551" s="2">
        <v>1.289999962</v>
      </c>
      <c r="J551" s="2">
        <v>0.43000000700000002</v>
      </c>
      <c r="K551" s="2">
        <v>6.0300002099999999</v>
      </c>
      <c r="L551" s="2">
        <v>0</v>
      </c>
      <c r="M551" s="2">
        <v>19</v>
      </c>
      <c r="N551" s="2">
        <v>9</v>
      </c>
      <c r="O551" s="2">
        <v>234</v>
      </c>
      <c r="P551" s="2">
        <v>878</v>
      </c>
      <c r="Q551" s="2">
        <f t="shared" si="42"/>
        <v>262</v>
      </c>
      <c r="R551" s="2">
        <f t="shared" si="40"/>
        <v>1140</v>
      </c>
      <c r="S551" t="str">
        <f t="shared" si="44"/>
        <v>Highly Active</v>
      </c>
      <c r="T551" s="2">
        <v>2969</v>
      </c>
    </row>
    <row r="552" spans="1:20" x14ac:dyDescent="0.25">
      <c r="A552" s="2">
        <v>4388161847</v>
      </c>
      <c r="B552" s="3">
        <v>42489</v>
      </c>
      <c r="C552" t="str">
        <f t="shared" si="41"/>
        <v>Friday</v>
      </c>
      <c r="D552" t="str">
        <f t="shared" si="43"/>
        <v>Weekday</v>
      </c>
      <c r="E552" s="2">
        <v>9232</v>
      </c>
      <c r="F552" s="2">
        <v>7.0999999049999998</v>
      </c>
      <c r="G552" s="2">
        <v>7.0999999049999998</v>
      </c>
      <c r="H552" s="2">
        <v>0</v>
      </c>
      <c r="I552" s="2">
        <v>0.80000001200000004</v>
      </c>
      <c r="J552" s="2">
        <v>0.88999998599999997</v>
      </c>
      <c r="K552" s="2">
        <v>5.420000076</v>
      </c>
      <c r="L552" s="2">
        <v>0</v>
      </c>
      <c r="M552" s="2">
        <v>13</v>
      </c>
      <c r="N552" s="2">
        <v>16</v>
      </c>
      <c r="O552" s="2">
        <v>236</v>
      </c>
      <c r="P552" s="2">
        <v>1175</v>
      </c>
      <c r="Q552" s="2">
        <f t="shared" si="42"/>
        <v>265</v>
      </c>
      <c r="R552" s="2">
        <f t="shared" ref="R552:R613" si="45">SUM(M552:P552)</f>
        <v>1440</v>
      </c>
      <c r="S552" t="str">
        <f t="shared" si="44"/>
        <v>Fairly Active</v>
      </c>
      <c r="T552" s="2">
        <v>2979</v>
      </c>
    </row>
    <row r="553" spans="1:20" x14ac:dyDescent="0.25">
      <c r="A553" s="2">
        <v>4388161847</v>
      </c>
      <c r="B553" s="3">
        <v>42490</v>
      </c>
      <c r="C553" t="str">
        <f t="shared" si="41"/>
        <v>Saturday</v>
      </c>
      <c r="D553" t="str">
        <f t="shared" si="43"/>
        <v>Weekend</v>
      </c>
      <c r="E553" s="2">
        <v>12533</v>
      </c>
      <c r="F553" s="2">
        <v>9.6400003430000005</v>
      </c>
      <c r="G553" s="2">
        <v>9.6400003430000005</v>
      </c>
      <c r="H553" s="2">
        <v>0</v>
      </c>
      <c r="I553" s="2">
        <v>0.69999998799999996</v>
      </c>
      <c r="J553" s="2">
        <v>2</v>
      </c>
      <c r="K553" s="2">
        <v>6.9400000569999998</v>
      </c>
      <c r="L553" s="2">
        <v>0</v>
      </c>
      <c r="M553" s="2">
        <v>14</v>
      </c>
      <c r="N553" s="2">
        <v>43</v>
      </c>
      <c r="O553" s="2">
        <v>300</v>
      </c>
      <c r="P553" s="2">
        <v>537</v>
      </c>
      <c r="Q553" s="2">
        <f t="shared" si="42"/>
        <v>357</v>
      </c>
      <c r="R553" s="2">
        <f t="shared" si="45"/>
        <v>894</v>
      </c>
      <c r="S553" t="str">
        <f t="shared" si="44"/>
        <v>Highly Active</v>
      </c>
      <c r="T553" s="2">
        <v>3283</v>
      </c>
    </row>
    <row r="554" spans="1:20" x14ac:dyDescent="0.25">
      <c r="A554" s="2">
        <v>4388161847</v>
      </c>
      <c r="B554" s="3">
        <v>42491</v>
      </c>
      <c r="C554" t="str">
        <f t="shared" si="41"/>
        <v>Sunday</v>
      </c>
      <c r="D554" t="str">
        <f t="shared" si="43"/>
        <v>Weekend</v>
      </c>
      <c r="E554" s="2">
        <v>10255</v>
      </c>
      <c r="F554" s="2">
        <v>7.8899998660000001</v>
      </c>
      <c r="G554" s="2">
        <v>7.8899998660000001</v>
      </c>
      <c r="H554" s="2">
        <v>0</v>
      </c>
      <c r="I554" s="2">
        <v>1.0099999900000001</v>
      </c>
      <c r="J554" s="2">
        <v>0.68000000699999996</v>
      </c>
      <c r="K554" s="2">
        <v>6.1999998090000004</v>
      </c>
      <c r="L554" s="2">
        <v>0</v>
      </c>
      <c r="M554" s="2">
        <v>12</v>
      </c>
      <c r="N554" s="2">
        <v>15</v>
      </c>
      <c r="O554" s="2">
        <v>241</v>
      </c>
      <c r="P554" s="2">
        <v>579</v>
      </c>
      <c r="Q554" s="2">
        <f t="shared" si="42"/>
        <v>268</v>
      </c>
      <c r="R554" s="2">
        <f t="shared" si="45"/>
        <v>847</v>
      </c>
      <c r="S554" t="str">
        <f t="shared" si="44"/>
        <v>Highly Active</v>
      </c>
      <c r="T554" s="2">
        <v>2926</v>
      </c>
    </row>
    <row r="555" spans="1:20" x14ac:dyDescent="0.25">
      <c r="A555" s="2">
        <v>4388161847</v>
      </c>
      <c r="B555" s="3">
        <v>42492</v>
      </c>
      <c r="C555" t="str">
        <f t="shared" si="41"/>
        <v>Monday</v>
      </c>
      <c r="D555" t="str">
        <f t="shared" si="43"/>
        <v>Weekday</v>
      </c>
      <c r="E555" s="2">
        <v>10096</v>
      </c>
      <c r="F555" s="2">
        <v>8.3999996190000008</v>
      </c>
      <c r="G555" s="2">
        <v>8.3999996190000008</v>
      </c>
      <c r="H555" s="2">
        <v>0</v>
      </c>
      <c r="I555" s="2">
        <v>3.7699999809999998</v>
      </c>
      <c r="J555" s="2">
        <v>7.9999998000000003E-2</v>
      </c>
      <c r="K555" s="2">
        <v>4.5500001909999996</v>
      </c>
      <c r="L555" s="2">
        <v>0</v>
      </c>
      <c r="M555" s="2">
        <v>33</v>
      </c>
      <c r="N555" s="2">
        <v>4</v>
      </c>
      <c r="O555" s="2">
        <v>204</v>
      </c>
      <c r="P555" s="2">
        <v>935</v>
      </c>
      <c r="Q555" s="2">
        <f t="shared" si="42"/>
        <v>241</v>
      </c>
      <c r="R555" s="2">
        <f t="shared" si="45"/>
        <v>1176</v>
      </c>
      <c r="S555" t="str">
        <f t="shared" si="44"/>
        <v>Highly Active</v>
      </c>
      <c r="T555" s="2">
        <v>3147</v>
      </c>
    </row>
    <row r="556" spans="1:20" x14ac:dyDescent="0.25">
      <c r="A556" s="2">
        <v>4388161847</v>
      </c>
      <c r="B556" s="3">
        <v>42493</v>
      </c>
      <c r="C556" t="str">
        <f t="shared" si="41"/>
        <v>Tuesday</v>
      </c>
      <c r="D556" t="str">
        <f t="shared" si="43"/>
        <v>Weekday</v>
      </c>
      <c r="E556" s="2">
        <v>12727</v>
      </c>
      <c r="F556" s="2">
        <v>9.7899999619999996</v>
      </c>
      <c r="G556" s="2">
        <v>9.7899999619999996</v>
      </c>
      <c r="H556" s="2">
        <v>0</v>
      </c>
      <c r="I556" s="2">
        <v>1.1299999949999999</v>
      </c>
      <c r="J556" s="2">
        <v>0.77999997099999996</v>
      </c>
      <c r="K556" s="2">
        <v>7.8800001139999996</v>
      </c>
      <c r="L556" s="2">
        <v>0</v>
      </c>
      <c r="M556" s="2">
        <v>18</v>
      </c>
      <c r="N556" s="2">
        <v>18</v>
      </c>
      <c r="O556" s="2">
        <v>306</v>
      </c>
      <c r="P556" s="2">
        <v>984</v>
      </c>
      <c r="Q556" s="2">
        <f t="shared" si="42"/>
        <v>342</v>
      </c>
      <c r="R556" s="2">
        <f t="shared" si="45"/>
        <v>1326</v>
      </c>
      <c r="S556" t="str">
        <f t="shared" si="44"/>
        <v>Highly Active</v>
      </c>
      <c r="T556" s="2">
        <v>3290</v>
      </c>
    </row>
    <row r="557" spans="1:20" x14ac:dyDescent="0.25">
      <c r="A557" s="2">
        <v>4388161847</v>
      </c>
      <c r="B557" s="3">
        <v>42494</v>
      </c>
      <c r="C557" t="str">
        <f t="shared" ref="C557:C618" si="46">CHOOSE(WEEKDAY(B557), "Sunday", "Monday", "Tuesday", "Wednesday", "Thursday", "Friday", "Saturday")</f>
        <v>Wednesday</v>
      </c>
      <c r="D557" t="str">
        <f t="shared" si="43"/>
        <v>Weekday</v>
      </c>
      <c r="E557" s="2">
        <v>12375</v>
      </c>
      <c r="F557" s="2">
        <v>9.5200004580000002</v>
      </c>
      <c r="G557" s="2">
        <v>9.5200004580000002</v>
      </c>
      <c r="H557" s="2">
        <v>0</v>
      </c>
      <c r="I557" s="2">
        <v>2.789999962</v>
      </c>
      <c r="J557" s="2">
        <v>0.93000000699999996</v>
      </c>
      <c r="K557" s="2">
        <v>5.8000001909999996</v>
      </c>
      <c r="L557" s="2">
        <v>0</v>
      </c>
      <c r="M557" s="2">
        <v>35</v>
      </c>
      <c r="N557" s="2">
        <v>21</v>
      </c>
      <c r="O557" s="2">
        <v>251</v>
      </c>
      <c r="P557" s="2">
        <v>632</v>
      </c>
      <c r="Q557" s="2">
        <f t="shared" ref="Q557:Q618" si="47">SUM(M557:O557)</f>
        <v>307</v>
      </c>
      <c r="R557" s="2">
        <f t="shared" si="45"/>
        <v>939</v>
      </c>
      <c r="S557" t="str">
        <f t="shared" si="44"/>
        <v>Highly Active</v>
      </c>
      <c r="T557" s="2">
        <v>3162</v>
      </c>
    </row>
    <row r="558" spans="1:20" x14ac:dyDescent="0.25">
      <c r="A558" s="2">
        <v>4388161847</v>
      </c>
      <c r="B558" s="3">
        <v>42495</v>
      </c>
      <c r="C558" t="str">
        <f t="shared" si="46"/>
        <v>Thursday</v>
      </c>
      <c r="D558" t="str">
        <f t="shared" si="43"/>
        <v>Weekday</v>
      </c>
      <c r="E558" s="2">
        <v>9603</v>
      </c>
      <c r="F558" s="2">
        <v>7.3800001139999996</v>
      </c>
      <c r="G558" s="2">
        <v>7.3800001139999996</v>
      </c>
      <c r="H558" s="2">
        <v>0</v>
      </c>
      <c r="I558" s="2">
        <v>0.62999999500000003</v>
      </c>
      <c r="J558" s="2">
        <v>1.6699999569999999</v>
      </c>
      <c r="K558" s="2">
        <v>5.0900001530000001</v>
      </c>
      <c r="L558" s="2">
        <v>0</v>
      </c>
      <c r="M558" s="2">
        <v>12</v>
      </c>
      <c r="N558" s="2">
        <v>39</v>
      </c>
      <c r="O558" s="2">
        <v>199</v>
      </c>
      <c r="P558" s="2">
        <v>896</v>
      </c>
      <c r="Q558" s="2">
        <f t="shared" si="47"/>
        <v>250</v>
      </c>
      <c r="R558" s="2">
        <f t="shared" si="45"/>
        <v>1146</v>
      </c>
      <c r="S558" t="str">
        <f t="shared" si="44"/>
        <v>Fairly Active</v>
      </c>
      <c r="T558" s="2">
        <v>2899</v>
      </c>
    </row>
    <row r="559" spans="1:20" x14ac:dyDescent="0.25">
      <c r="A559" s="2">
        <v>4388161847</v>
      </c>
      <c r="B559" s="3">
        <v>42496</v>
      </c>
      <c r="C559" t="str">
        <f t="shared" si="46"/>
        <v>Friday</v>
      </c>
      <c r="D559" t="str">
        <f t="shared" si="43"/>
        <v>Weekday</v>
      </c>
      <c r="E559" s="2">
        <v>13175</v>
      </c>
      <c r="F559" s="2">
        <v>10.130000109999999</v>
      </c>
      <c r="G559" s="2">
        <v>10.130000109999999</v>
      </c>
      <c r="H559" s="2">
        <v>0</v>
      </c>
      <c r="I559" s="2">
        <v>2.1099998950000001</v>
      </c>
      <c r="J559" s="2">
        <v>2.0899999139999998</v>
      </c>
      <c r="K559" s="2">
        <v>5.9299998279999997</v>
      </c>
      <c r="L559" s="2">
        <v>0</v>
      </c>
      <c r="M559" s="2">
        <v>33</v>
      </c>
      <c r="N559" s="2">
        <v>45</v>
      </c>
      <c r="O559" s="2">
        <v>262</v>
      </c>
      <c r="P559" s="2">
        <v>1100</v>
      </c>
      <c r="Q559" s="2">
        <f t="shared" si="47"/>
        <v>340</v>
      </c>
      <c r="R559" s="2">
        <f t="shared" si="45"/>
        <v>1440</v>
      </c>
      <c r="S559" t="str">
        <f t="shared" si="44"/>
        <v>Highly Active</v>
      </c>
      <c r="T559" s="2">
        <v>3425</v>
      </c>
    </row>
    <row r="560" spans="1:20" x14ac:dyDescent="0.25">
      <c r="A560" s="2">
        <v>4388161847</v>
      </c>
      <c r="B560" s="3">
        <v>42497</v>
      </c>
      <c r="C560" t="str">
        <f t="shared" si="46"/>
        <v>Saturday</v>
      </c>
      <c r="D560" t="str">
        <f t="shared" si="43"/>
        <v>Weekend</v>
      </c>
      <c r="E560" s="2">
        <v>22770</v>
      </c>
      <c r="F560" s="2">
        <v>17.540000920000001</v>
      </c>
      <c r="G560" s="2">
        <v>17.540000920000001</v>
      </c>
      <c r="H560" s="2">
        <v>0</v>
      </c>
      <c r="I560" s="2">
        <v>9.4499998089999995</v>
      </c>
      <c r="J560" s="2">
        <v>2.7699999809999998</v>
      </c>
      <c r="K560" s="2">
        <v>5.329999924</v>
      </c>
      <c r="L560" s="2">
        <v>0</v>
      </c>
      <c r="M560" s="2">
        <v>120</v>
      </c>
      <c r="N560" s="2">
        <v>56</v>
      </c>
      <c r="O560" s="2">
        <v>260</v>
      </c>
      <c r="P560" s="2">
        <v>508</v>
      </c>
      <c r="Q560" s="2">
        <f t="shared" si="47"/>
        <v>436</v>
      </c>
      <c r="R560" s="2">
        <f t="shared" si="45"/>
        <v>944</v>
      </c>
      <c r="S560" t="str">
        <f t="shared" si="44"/>
        <v>Highly Active</v>
      </c>
      <c r="T560" s="2">
        <v>4022</v>
      </c>
    </row>
    <row r="561" spans="1:20" x14ac:dyDescent="0.25">
      <c r="A561" s="2">
        <v>4388161847</v>
      </c>
      <c r="B561" s="3">
        <v>42498</v>
      </c>
      <c r="C561" t="str">
        <f t="shared" si="46"/>
        <v>Sunday</v>
      </c>
      <c r="D561" t="str">
        <f t="shared" si="43"/>
        <v>Weekend</v>
      </c>
      <c r="E561" s="2">
        <v>17298</v>
      </c>
      <c r="F561" s="2">
        <v>14.380000109999999</v>
      </c>
      <c r="G561" s="2">
        <v>14.380000109999999</v>
      </c>
      <c r="H561" s="2">
        <v>0</v>
      </c>
      <c r="I561" s="2">
        <v>9.8900003430000005</v>
      </c>
      <c r="J561" s="2">
        <v>1.2599999900000001</v>
      </c>
      <c r="K561" s="2">
        <v>3.2300000190000002</v>
      </c>
      <c r="L561" s="2">
        <v>0</v>
      </c>
      <c r="M561" s="2">
        <v>107</v>
      </c>
      <c r="N561" s="2">
        <v>38</v>
      </c>
      <c r="O561" s="2">
        <v>178</v>
      </c>
      <c r="P561" s="2">
        <v>576</v>
      </c>
      <c r="Q561" s="2">
        <f t="shared" si="47"/>
        <v>323</v>
      </c>
      <c r="R561" s="2">
        <f t="shared" si="45"/>
        <v>899</v>
      </c>
      <c r="S561" t="str">
        <f t="shared" si="44"/>
        <v>Highly Active</v>
      </c>
      <c r="T561" s="2">
        <v>3934</v>
      </c>
    </row>
    <row r="562" spans="1:20" x14ac:dyDescent="0.25">
      <c r="A562" s="2">
        <v>4388161847</v>
      </c>
      <c r="B562" s="3">
        <v>42499</v>
      </c>
      <c r="C562" t="str">
        <f t="shared" si="46"/>
        <v>Monday</v>
      </c>
      <c r="D562" t="str">
        <f t="shared" si="43"/>
        <v>Weekday</v>
      </c>
      <c r="E562" s="2">
        <v>10218</v>
      </c>
      <c r="F562" s="2">
        <v>7.8600001339999999</v>
      </c>
      <c r="G562" s="2">
        <v>7.8600001339999999</v>
      </c>
      <c r="H562" s="2">
        <v>0</v>
      </c>
      <c r="I562" s="2">
        <v>0.34000000400000002</v>
      </c>
      <c r="J562" s="2">
        <v>0.730000019</v>
      </c>
      <c r="K562" s="2">
        <v>6.7899999619999996</v>
      </c>
      <c r="L562" s="2">
        <v>0</v>
      </c>
      <c r="M562" s="2">
        <v>6</v>
      </c>
      <c r="N562" s="2">
        <v>19</v>
      </c>
      <c r="O562" s="2">
        <v>258</v>
      </c>
      <c r="P562" s="2">
        <v>1020</v>
      </c>
      <c r="Q562" s="2">
        <f t="shared" si="47"/>
        <v>283</v>
      </c>
      <c r="R562" s="2">
        <f t="shared" si="45"/>
        <v>1303</v>
      </c>
      <c r="S562" t="str">
        <f t="shared" si="44"/>
        <v>Highly Active</v>
      </c>
      <c r="T562" s="2">
        <v>3013</v>
      </c>
    </row>
    <row r="563" spans="1:20" x14ac:dyDescent="0.25">
      <c r="A563" s="2">
        <v>4388161847</v>
      </c>
      <c r="B563" s="3">
        <v>42500</v>
      </c>
      <c r="C563" t="str">
        <f t="shared" si="46"/>
        <v>Tuesday</v>
      </c>
      <c r="D563" t="str">
        <f t="shared" si="43"/>
        <v>Weekday</v>
      </c>
      <c r="E563" s="2">
        <v>10299</v>
      </c>
      <c r="F563" s="2">
        <v>7.920000076</v>
      </c>
      <c r="G563" s="2">
        <v>7.920000076</v>
      </c>
      <c r="H563" s="2">
        <v>0</v>
      </c>
      <c r="I563" s="2">
        <v>0.810000002</v>
      </c>
      <c r="J563" s="2">
        <v>0.64999997600000003</v>
      </c>
      <c r="K563" s="2">
        <v>6.4600000380000004</v>
      </c>
      <c r="L563" s="2">
        <v>0</v>
      </c>
      <c r="M563" s="2">
        <v>13</v>
      </c>
      <c r="N563" s="2">
        <v>14</v>
      </c>
      <c r="O563" s="2">
        <v>267</v>
      </c>
      <c r="P563" s="2">
        <v>648</v>
      </c>
      <c r="Q563" s="2">
        <f t="shared" si="47"/>
        <v>294</v>
      </c>
      <c r="R563" s="2">
        <f t="shared" si="45"/>
        <v>942</v>
      </c>
      <c r="S563" t="str">
        <f t="shared" si="44"/>
        <v>Highly Active</v>
      </c>
      <c r="T563" s="2">
        <v>3061</v>
      </c>
    </row>
    <row r="564" spans="1:20" x14ac:dyDescent="0.25">
      <c r="A564" s="2">
        <v>4388161847</v>
      </c>
      <c r="B564" s="3">
        <v>42501</v>
      </c>
      <c r="C564" t="str">
        <f t="shared" si="46"/>
        <v>Wednesday</v>
      </c>
      <c r="D564" t="str">
        <f t="shared" si="43"/>
        <v>Weekday</v>
      </c>
      <c r="E564" s="2">
        <v>10201</v>
      </c>
      <c r="F564" s="2">
        <v>7.8400001530000001</v>
      </c>
      <c r="G564" s="2">
        <v>7.8400001530000001</v>
      </c>
      <c r="H564" s="2">
        <v>0</v>
      </c>
      <c r="I564" s="2">
        <v>0.52999997099999996</v>
      </c>
      <c r="J564" s="2">
        <v>0.790000021</v>
      </c>
      <c r="K564" s="2">
        <v>6.5300002099999999</v>
      </c>
      <c r="L564" s="2">
        <v>0</v>
      </c>
      <c r="M564" s="2">
        <v>8</v>
      </c>
      <c r="N564" s="2">
        <v>18</v>
      </c>
      <c r="O564" s="2">
        <v>256</v>
      </c>
      <c r="P564" s="2">
        <v>858</v>
      </c>
      <c r="Q564" s="2">
        <f t="shared" si="47"/>
        <v>282</v>
      </c>
      <c r="R564" s="2">
        <f t="shared" si="45"/>
        <v>1140</v>
      </c>
      <c r="S564" t="str">
        <f t="shared" si="44"/>
        <v>Highly Active</v>
      </c>
      <c r="T564" s="2">
        <v>2954</v>
      </c>
    </row>
    <row r="565" spans="1:20" x14ac:dyDescent="0.25">
      <c r="A565" s="2">
        <v>4388161847</v>
      </c>
      <c r="B565" s="3">
        <v>42502</v>
      </c>
      <c r="C565" t="str">
        <f t="shared" si="46"/>
        <v>Thursday</v>
      </c>
      <c r="D565" t="str">
        <f t="shared" si="43"/>
        <v>Weekday</v>
      </c>
      <c r="E565" s="2">
        <v>3369</v>
      </c>
      <c r="F565" s="2">
        <v>2.5899999139999998</v>
      </c>
      <c r="G565" s="2">
        <v>2.5899999139999998</v>
      </c>
      <c r="H565" s="2">
        <v>0</v>
      </c>
      <c r="I565" s="2">
        <v>0</v>
      </c>
      <c r="J565" s="2">
        <v>0</v>
      </c>
      <c r="K565" s="2">
        <v>2.5899999139999998</v>
      </c>
      <c r="L565" s="2">
        <v>0</v>
      </c>
      <c r="M565" s="2">
        <v>0</v>
      </c>
      <c r="N565" s="2">
        <v>0</v>
      </c>
      <c r="O565" s="2">
        <v>108</v>
      </c>
      <c r="P565" s="2">
        <v>825</v>
      </c>
      <c r="Q565" s="2">
        <f t="shared" si="47"/>
        <v>108</v>
      </c>
      <c r="R565" s="2">
        <f t="shared" si="45"/>
        <v>933</v>
      </c>
      <c r="S565" t="str">
        <f t="shared" si="44"/>
        <v>Sedentary</v>
      </c>
      <c r="T565" s="2">
        <v>1623</v>
      </c>
    </row>
    <row r="566" spans="1:20" x14ac:dyDescent="0.25">
      <c r="A566" s="2">
        <v>4445114986</v>
      </c>
      <c r="B566" s="3">
        <v>42458</v>
      </c>
      <c r="C566" t="str">
        <f t="shared" si="46"/>
        <v>Tuesday</v>
      </c>
      <c r="D566" t="str">
        <f t="shared" si="43"/>
        <v>Weekday</v>
      </c>
      <c r="E566" s="2">
        <v>2303</v>
      </c>
      <c r="F566" s="2">
        <v>1.5499999520000001</v>
      </c>
      <c r="G566" s="2">
        <v>1.5499999520000001</v>
      </c>
      <c r="H566" s="2">
        <v>0</v>
      </c>
      <c r="I566" s="2">
        <v>0</v>
      </c>
      <c r="J566" s="2">
        <v>0</v>
      </c>
      <c r="K566" s="2">
        <v>1.5499999520000001</v>
      </c>
      <c r="L566" s="2">
        <v>0</v>
      </c>
      <c r="M566" s="2">
        <v>0</v>
      </c>
      <c r="N566" s="2">
        <v>0</v>
      </c>
      <c r="O566" s="2">
        <v>155</v>
      </c>
      <c r="P566" s="2">
        <v>807</v>
      </c>
      <c r="Q566" s="2">
        <f t="shared" si="47"/>
        <v>155</v>
      </c>
      <c r="R566" s="2">
        <f t="shared" si="45"/>
        <v>962</v>
      </c>
      <c r="S566" t="str">
        <f t="shared" si="44"/>
        <v>Sedentary</v>
      </c>
      <c r="T566" s="2">
        <v>2010</v>
      </c>
    </row>
    <row r="567" spans="1:20" x14ac:dyDescent="0.25">
      <c r="A567" s="2">
        <v>4445114986</v>
      </c>
      <c r="B567" s="3">
        <v>42459</v>
      </c>
      <c r="C567" t="str">
        <f t="shared" si="46"/>
        <v>Wednesday</v>
      </c>
      <c r="D567" t="str">
        <f t="shared" si="43"/>
        <v>Weekday</v>
      </c>
      <c r="E567" s="2">
        <v>2600</v>
      </c>
      <c r="F567" s="2">
        <v>1.7400000099999999</v>
      </c>
      <c r="G567" s="2">
        <v>1.7400000099999999</v>
      </c>
      <c r="H567" s="2">
        <v>0</v>
      </c>
      <c r="I567" s="2">
        <v>0</v>
      </c>
      <c r="J567" s="2">
        <v>0</v>
      </c>
      <c r="K567" s="2">
        <v>1.7400000099999999</v>
      </c>
      <c r="L567" s="2">
        <v>0</v>
      </c>
      <c r="M567" s="2">
        <v>0</v>
      </c>
      <c r="N567" s="2">
        <v>0</v>
      </c>
      <c r="O567" s="2">
        <v>163</v>
      </c>
      <c r="P567" s="2">
        <v>1277</v>
      </c>
      <c r="Q567" s="2">
        <f t="shared" si="47"/>
        <v>163</v>
      </c>
      <c r="R567" s="2">
        <f t="shared" si="45"/>
        <v>1440</v>
      </c>
      <c r="S567" t="str">
        <f t="shared" si="44"/>
        <v>Sedentary</v>
      </c>
      <c r="T567" s="2">
        <v>2032</v>
      </c>
    </row>
    <row r="568" spans="1:20" x14ac:dyDescent="0.25">
      <c r="A568" s="2">
        <v>4445114986</v>
      </c>
      <c r="B568" s="3">
        <v>42460</v>
      </c>
      <c r="C568" t="str">
        <f t="shared" si="46"/>
        <v>Thursday</v>
      </c>
      <c r="D568" t="str">
        <f t="shared" si="43"/>
        <v>Weekday</v>
      </c>
      <c r="E568" s="2">
        <v>4804</v>
      </c>
      <c r="F568" s="2">
        <v>3.2200000289999999</v>
      </c>
      <c r="G568" s="2">
        <v>3.2200000289999999</v>
      </c>
      <c r="H568" s="2">
        <v>0</v>
      </c>
      <c r="I568" s="2">
        <v>0</v>
      </c>
      <c r="J568" s="2">
        <v>0</v>
      </c>
      <c r="K568" s="2">
        <v>3.2200000289999999</v>
      </c>
      <c r="L568" s="2">
        <v>0</v>
      </c>
      <c r="M568" s="2">
        <v>0</v>
      </c>
      <c r="N568" s="2">
        <v>0</v>
      </c>
      <c r="O568" s="2">
        <v>238</v>
      </c>
      <c r="P568" s="2">
        <v>786</v>
      </c>
      <c r="Q568" s="2">
        <f t="shared" si="47"/>
        <v>238</v>
      </c>
      <c r="R568" s="2">
        <f t="shared" si="45"/>
        <v>1024</v>
      </c>
      <c r="S568" t="str">
        <f t="shared" si="44"/>
        <v>Sedentary</v>
      </c>
      <c r="T568" s="2">
        <v>2227</v>
      </c>
    </row>
    <row r="569" spans="1:20" x14ac:dyDescent="0.25">
      <c r="A569" s="2">
        <v>4445114986</v>
      </c>
      <c r="B569" s="3">
        <v>42461</v>
      </c>
      <c r="C569" t="str">
        <f t="shared" si="46"/>
        <v>Friday</v>
      </c>
      <c r="D569" t="str">
        <f t="shared" si="43"/>
        <v>Weekday</v>
      </c>
      <c r="E569" s="2">
        <v>3271</v>
      </c>
      <c r="F569" s="2">
        <v>2.1900000569999998</v>
      </c>
      <c r="G569" s="2">
        <v>2.1900000569999998</v>
      </c>
      <c r="H569" s="2">
        <v>0</v>
      </c>
      <c r="I569" s="2">
        <v>0</v>
      </c>
      <c r="J569" s="2">
        <v>0</v>
      </c>
      <c r="K569" s="2">
        <v>2.1900000569999998</v>
      </c>
      <c r="L569" s="2">
        <v>0</v>
      </c>
      <c r="M569" s="2">
        <v>0</v>
      </c>
      <c r="N569" s="2">
        <v>0</v>
      </c>
      <c r="O569" s="2">
        <v>205</v>
      </c>
      <c r="P569" s="2">
        <v>898</v>
      </c>
      <c r="Q569" s="2">
        <f t="shared" si="47"/>
        <v>205</v>
      </c>
      <c r="R569" s="2">
        <f t="shared" si="45"/>
        <v>1103</v>
      </c>
      <c r="S569" t="str">
        <f t="shared" si="44"/>
        <v>Sedentary</v>
      </c>
      <c r="T569" s="2">
        <v>2133</v>
      </c>
    </row>
    <row r="570" spans="1:20" x14ac:dyDescent="0.25">
      <c r="A570" s="2">
        <v>4445114986</v>
      </c>
      <c r="B570" s="3">
        <v>42462</v>
      </c>
      <c r="C570" t="str">
        <f t="shared" si="46"/>
        <v>Saturday</v>
      </c>
      <c r="D570" t="str">
        <f t="shared" si="43"/>
        <v>Weekend</v>
      </c>
      <c r="E570" s="2">
        <v>5406</v>
      </c>
      <c r="F570" s="2">
        <v>3.630000114</v>
      </c>
      <c r="G570" s="2">
        <v>3.630000114</v>
      </c>
      <c r="H570" s="2">
        <v>0</v>
      </c>
      <c r="I570" s="2">
        <v>0</v>
      </c>
      <c r="J570" s="2">
        <v>0</v>
      </c>
      <c r="K570" s="2">
        <v>3.6099998950000001</v>
      </c>
      <c r="L570" s="2">
        <v>0</v>
      </c>
      <c r="M570" s="2">
        <v>0</v>
      </c>
      <c r="N570" s="2">
        <v>0</v>
      </c>
      <c r="O570" s="2">
        <v>273</v>
      </c>
      <c r="P570" s="2">
        <v>672</v>
      </c>
      <c r="Q570" s="2">
        <f t="shared" si="47"/>
        <v>273</v>
      </c>
      <c r="R570" s="2">
        <f t="shared" si="45"/>
        <v>945</v>
      </c>
      <c r="S570" t="str">
        <f t="shared" si="44"/>
        <v>Lightly Active</v>
      </c>
      <c r="T570" s="2">
        <v>2317</v>
      </c>
    </row>
    <row r="571" spans="1:20" x14ac:dyDescent="0.25">
      <c r="A571" s="2">
        <v>4445114986</v>
      </c>
      <c r="B571" s="3">
        <v>42463</v>
      </c>
      <c r="C571" t="str">
        <f t="shared" si="46"/>
        <v>Sunday</v>
      </c>
      <c r="D571" t="str">
        <f t="shared" si="43"/>
        <v>Weekend</v>
      </c>
      <c r="E571" s="2">
        <v>3146</v>
      </c>
      <c r="F571" s="2">
        <v>2.1099998950000001</v>
      </c>
      <c r="G571" s="2">
        <v>2.1099998950000001</v>
      </c>
      <c r="H571" s="2">
        <v>0</v>
      </c>
      <c r="I571" s="2">
        <v>0</v>
      </c>
      <c r="J571" s="2">
        <v>0</v>
      </c>
      <c r="K571" s="2">
        <v>2.1099998950000001</v>
      </c>
      <c r="L571" s="2">
        <v>0</v>
      </c>
      <c r="M571" s="2">
        <v>0</v>
      </c>
      <c r="N571" s="2">
        <v>0</v>
      </c>
      <c r="O571" s="2">
        <v>171</v>
      </c>
      <c r="P571" s="2">
        <v>1269</v>
      </c>
      <c r="Q571" s="2">
        <f t="shared" si="47"/>
        <v>171</v>
      </c>
      <c r="R571" s="2">
        <f t="shared" si="45"/>
        <v>1440</v>
      </c>
      <c r="S571" t="str">
        <f t="shared" si="44"/>
        <v>Sedentary</v>
      </c>
      <c r="T571" s="2">
        <v>2058</v>
      </c>
    </row>
    <row r="572" spans="1:20" x14ac:dyDescent="0.25">
      <c r="A572" s="2">
        <v>4445114986</v>
      </c>
      <c r="B572" s="3">
        <v>42464</v>
      </c>
      <c r="C572" t="str">
        <f t="shared" si="46"/>
        <v>Monday</v>
      </c>
      <c r="D572" t="str">
        <f t="shared" si="43"/>
        <v>Weekday</v>
      </c>
      <c r="E572" s="2">
        <v>2422</v>
      </c>
      <c r="F572" s="2">
        <v>1.6299999949999999</v>
      </c>
      <c r="G572" s="2">
        <v>1.6299999949999999</v>
      </c>
      <c r="H572" s="2">
        <v>0</v>
      </c>
      <c r="I572" s="2">
        <v>0</v>
      </c>
      <c r="J572" s="2">
        <v>0</v>
      </c>
      <c r="K572" s="2">
        <v>1.6299999949999999</v>
      </c>
      <c r="L572" s="2">
        <v>0</v>
      </c>
      <c r="M572" s="2">
        <v>0</v>
      </c>
      <c r="N572" s="2">
        <v>0</v>
      </c>
      <c r="O572" s="2">
        <v>110</v>
      </c>
      <c r="P572" s="2">
        <v>1330</v>
      </c>
      <c r="Q572" s="2">
        <f t="shared" si="47"/>
        <v>110</v>
      </c>
      <c r="R572" s="2">
        <f t="shared" si="45"/>
        <v>1440</v>
      </c>
      <c r="S572" t="str">
        <f t="shared" si="44"/>
        <v>Sedentary</v>
      </c>
      <c r="T572" s="2">
        <v>1935</v>
      </c>
    </row>
    <row r="573" spans="1:20" x14ac:dyDescent="0.25">
      <c r="A573" s="2">
        <v>4445114986</v>
      </c>
      <c r="B573" s="3">
        <v>42465</v>
      </c>
      <c r="C573" t="str">
        <f t="shared" si="46"/>
        <v>Tuesday</v>
      </c>
      <c r="D573" t="str">
        <f t="shared" si="43"/>
        <v>Weekday</v>
      </c>
      <c r="E573" s="2">
        <v>4239</v>
      </c>
      <c r="F573" s="2">
        <v>2.8399999139999998</v>
      </c>
      <c r="G573" s="2">
        <v>2.8399999139999998</v>
      </c>
      <c r="H573" s="2">
        <v>0</v>
      </c>
      <c r="I573" s="2">
        <v>5.9999998999999998E-2</v>
      </c>
      <c r="J573" s="2">
        <v>0.23999999499999999</v>
      </c>
      <c r="K573" s="2">
        <v>2.5299999710000001</v>
      </c>
      <c r="L573" s="2">
        <v>0</v>
      </c>
      <c r="M573" s="2">
        <v>1</v>
      </c>
      <c r="N573" s="2">
        <v>6</v>
      </c>
      <c r="O573" s="2">
        <v>235</v>
      </c>
      <c r="P573" s="2">
        <v>702</v>
      </c>
      <c r="Q573" s="2">
        <f t="shared" si="47"/>
        <v>242</v>
      </c>
      <c r="R573" s="2">
        <f t="shared" si="45"/>
        <v>944</v>
      </c>
      <c r="S573" t="str">
        <f t="shared" si="44"/>
        <v>Sedentary</v>
      </c>
      <c r="T573" s="2">
        <v>2217</v>
      </c>
    </row>
    <row r="574" spans="1:20" x14ac:dyDescent="0.25">
      <c r="A574" s="2">
        <v>4445114986</v>
      </c>
      <c r="B574" s="3">
        <v>42466</v>
      </c>
      <c r="C574" t="str">
        <f t="shared" si="46"/>
        <v>Wednesday</v>
      </c>
      <c r="D574" t="str">
        <f t="shared" si="43"/>
        <v>Weekday</v>
      </c>
      <c r="E574" s="2">
        <v>6911</v>
      </c>
      <c r="F574" s="2">
        <v>4.7800002099999999</v>
      </c>
      <c r="G574" s="2">
        <v>4.7800002099999999</v>
      </c>
      <c r="H574" s="2">
        <v>0</v>
      </c>
      <c r="I574" s="2">
        <v>2.3199999330000001</v>
      </c>
      <c r="J574" s="2">
        <v>0.10000000100000001</v>
      </c>
      <c r="K574" s="2">
        <v>2.3599998950000001</v>
      </c>
      <c r="L574" s="2">
        <v>0</v>
      </c>
      <c r="M574" s="2">
        <v>28</v>
      </c>
      <c r="N574" s="2">
        <v>2</v>
      </c>
      <c r="O574" s="2">
        <v>215</v>
      </c>
      <c r="P574" s="2">
        <v>745</v>
      </c>
      <c r="Q574" s="2">
        <f t="shared" si="47"/>
        <v>245</v>
      </c>
      <c r="R574" s="2">
        <f t="shared" si="45"/>
        <v>990</v>
      </c>
      <c r="S574" t="str">
        <f t="shared" si="44"/>
        <v>Lightly Active</v>
      </c>
      <c r="T574" s="2">
        <v>2374</v>
      </c>
    </row>
    <row r="575" spans="1:20" x14ac:dyDescent="0.25">
      <c r="A575" s="2">
        <v>4445114986</v>
      </c>
      <c r="B575" s="3">
        <v>42467</v>
      </c>
      <c r="C575" t="str">
        <f t="shared" si="46"/>
        <v>Thursday</v>
      </c>
      <c r="D575" t="str">
        <f t="shared" si="43"/>
        <v>Weekday</v>
      </c>
      <c r="E575" s="2">
        <v>6667</v>
      </c>
      <c r="F575" s="2">
        <v>4.6100001339999999</v>
      </c>
      <c r="G575" s="2">
        <v>4.6100001339999999</v>
      </c>
      <c r="H575" s="2">
        <v>0</v>
      </c>
      <c r="I575" s="2">
        <v>2.0199999809999998</v>
      </c>
      <c r="J575" s="2">
        <v>5.0000001000000002E-2</v>
      </c>
      <c r="K575" s="2">
        <v>2.5499999519999998</v>
      </c>
      <c r="L575" s="2">
        <v>0</v>
      </c>
      <c r="M575" s="2">
        <v>24</v>
      </c>
      <c r="N575" s="2">
        <v>1</v>
      </c>
      <c r="O575" s="2">
        <v>208</v>
      </c>
      <c r="P575" s="2">
        <v>939</v>
      </c>
      <c r="Q575" s="2">
        <f t="shared" si="47"/>
        <v>233</v>
      </c>
      <c r="R575" s="2">
        <f t="shared" si="45"/>
        <v>1172</v>
      </c>
      <c r="S575" t="str">
        <f t="shared" si="44"/>
        <v>Lightly Active</v>
      </c>
      <c r="T575" s="2">
        <v>2335</v>
      </c>
    </row>
    <row r="576" spans="1:20" x14ac:dyDescent="0.25">
      <c r="A576" s="2">
        <v>4445114986</v>
      </c>
      <c r="B576" s="3">
        <v>42468</v>
      </c>
      <c r="C576" t="str">
        <f t="shared" si="46"/>
        <v>Friday</v>
      </c>
      <c r="D576" t="str">
        <f t="shared" si="43"/>
        <v>Weekday</v>
      </c>
      <c r="E576" s="2">
        <v>5543</v>
      </c>
      <c r="F576" s="2">
        <v>3.7200000289999999</v>
      </c>
      <c r="G576" s="2">
        <v>3.7200000289999999</v>
      </c>
      <c r="H576" s="2">
        <v>0</v>
      </c>
      <c r="I576" s="2">
        <v>0</v>
      </c>
      <c r="J576" s="2">
        <v>0</v>
      </c>
      <c r="K576" s="2">
        <v>3.7200000289999999</v>
      </c>
      <c r="L576" s="2">
        <v>0</v>
      </c>
      <c r="M576" s="2">
        <v>0</v>
      </c>
      <c r="N576" s="2">
        <v>0</v>
      </c>
      <c r="O576" s="2">
        <v>266</v>
      </c>
      <c r="P576" s="2">
        <v>941</v>
      </c>
      <c r="Q576" s="2">
        <f t="shared" si="47"/>
        <v>266</v>
      </c>
      <c r="R576" s="2">
        <f t="shared" si="45"/>
        <v>1207</v>
      </c>
      <c r="S576" t="str">
        <f t="shared" si="44"/>
        <v>Lightly Active</v>
      </c>
      <c r="T576" s="2">
        <v>2303</v>
      </c>
    </row>
    <row r="577" spans="1:20" x14ac:dyDescent="0.25">
      <c r="A577" s="2">
        <v>4445114986</v>
      </c>
      <c r="B577" s="3">
        <v>42469</v>
      </c>
      <c r="C577" t="str">
        <f t="shared" si="46"/>
        <v>Saturday</v>
      </c>
      <c r="D577" t="str">
        <f t="shared" si="43"/>
        <v>Weekend</v>
      </c>
      <c r="E577" s="2">
        <v>4195</v>
      </c>
      <c r="F577" s="2">
        <v>2.8099999430000002</v>
      </c>
      <c r="G577" s="2">
        <v>2.8099999430000002</v>
      </c>
      <c r="H577" s="2">
        <v>0</v>
      </c>
      <c r="I577" s="2">
        <v>0</v>
      </c>
      <c r="J577" s="2">
        <v>0</v>
      </c>
      <c r="K577" s="2">
        <v>2.8099999430000002</v>
      </c>
      <c r="L577" s="2">
        <v>0</v>
      </c>
      <c r="M577" s="2">
        <v>0</v>
      </c>
      <c r="N577" s="2">
        <v>0</v>
      </c>
      <c r="O577" s="2">
        <v>239</v>
      </c>
      <c r="P577" s="2">
        <v>758</v>
      </c>
      <c r="Q577" s="2">
        <f t="shared" si="47"/>
        <v>239</v>
      </c>
      <c r="R577" s="2">
        <f t="shared" si="45"/>
        <v>997</v>
      </c>
      <c r="S577" t="str">
        <f t="shared" si="44"/>
        <v>Sedentary</v>
      </c>
      <c r="T577" s="2">
        <v>2210</v>
      </c>
    </row>
    <row r="578" spans="1:20" x14ac:dyDescent="0.25">
      <c r="A578" s="2">
        <v>4445114986</v>
      </c>
      <c r="B578" s="3">
        <v>42470</v>
      </c>
      <c r="C578" t="str">
        <f t="shared" si="46"/>
        <v>Sunday</v>
      </c>
      <c r="D578" t="str">
        <f t="shared" si="43"/>
        <v>Weekend</v>
      </c>
      <c r="E578" s="2">
        <v>6625</v>
      </c>
      <c r="F578" s="2">
        <v>4.4499998090000004</v>
      </c>
      <c r="G578" s="2">
        <v>4.4499998090000004</v>
      </c>
      <c r="H578" s="2">
        <v>0</v>
      </c>
      <c r="I578" s="2">
        <v>0</v>
      </c>
      <c r="J578" s="2">
        <v>0</v>
      </c>
      <c r="K578" s="2">
        <v>4.4499998090000004</v>
      </c>
      <c r="L578" s="2">
        <v>0</v>
      </c>
      <c r="M578" s="2">
        <v>0</v>
      </c>
      <c r="N578" s="2">
        <v>0</v>
      </c>
      <c r="O578" s="2">
        <v>316</v>
      </c>
      <c r="P578" s="2">
        <v>755</v>
      </c>
      <c r="Q578" s="2">
        <f t="shared" si="47"/>
        <v>316</v>
      </c>
      <c r="R578" s="2">
        <f t="shared" si="45"/>
        <v>1071</v>
      </c>
      <c r="S578" t="str">
        <f t="shared" si="44"/>
        <v>Lightly Active</v>
      </c>
      <c r="T578" s="2">
        <v>2424</v>
      </c>
    </row>
    <row r="579" spans="1:20" x14ac:dyDescent="0.25">
      <c r="A579" s="2">
        <v>4445114986</v>
      </c>
      <c r="B579" s="3">
        <v>42471</v>
      </c>
      <c r="C579" t="str">
        <f t="shared" si="46"/>
        <v>Monday</v>
      </c>
      <c r="D579" t="str">
        <f t="shared" ref="D579:D642" si="48">IF(OR(C579="Saturday", C579="Sunday"), "Weekend", "Weekday")</f>
        <v>Weekday</v>
      </c>
      <c r="E579" s="2">
        <v>5986</v>
      </c>
      <c r="F579" s="2">
        <v>4.1300001139999996</v>
      </c>
      <c r="G579" s="2">
        <v>4.1300001139999996</v>
      </c>
      <c r="H579" s="2">
        <v>0</v>
      </c>
      <c r="I579" s="2">
        <v>1.9500000479999999</v>
      </c>
      <c r="J579" s="2">
        <v>0.23000000400000001</v>
      </c>
      <c r="K579" s="2">
        <v>1.9500000479999999</v>
      </c>
      <c r="L579" s="2">
        <v>0</v>
      </c>
      <c r="M579" s="2">
        <v>23</v>
      </c>
      <c r="N579" s="2">
        <v>5</v>
      </c>
      <c r="O579" s="2">
        <v>195</v>
      </c>
      <c r="P579" s="2">
        <v>789</v>
      </c>
      <c r="Q579" s="2">
        <f t="shared" si="47"/>
        <v>223</v>
      </c>
      <c r="R579" s="2">
        <f t="shared" si="45"/>
        <v>1012</v>
      </c>
      <c r="S579" t="str">
        <f t="shared" ref="S579:S642" si="49">IF(E579&lt;5000, "Sedentary", IF(E579&lt;7500, "Lightly Active", IF(E579&lt;10000, "Fairly Active", "Highly Active")))</f>
        <v>Lightly Active</v>
      </c>
      <c r="T579" s="2">
        <v>2297</v>
      </c>
    </row>
    <row r="580" spans="1:20" x14ac:dyDescent="0.25">
      <c r="A580" s="2">
        <v>4445114986</v>
      </c>
      <c r="B580" s="3">
        <v>42473</v>
      </c>
      <c r="C580" t="str">
        <f t="shared" si="46"/>
        <v>Wednesday</v>
      </c>
      <c r="D580" t="str">
        <f t="shared" si="48"/>
        <v>Weekday</v>
      </c>
      <c r="E580" s="2">
        <v>2961</v>
      </c>
      <c r="F580" s="2">
        <v>1.9900000099999999</v>
      </c>
      <c r="G580" s="2">
        <v>1.9900000099999999</v>
      </c>
      <c r="H580" s="2">
        <v>0</v>
      </c>
      <c r="I580" s="2">
        <v>0</v>
      </c>
      <c r="J580" s="2">
        <v>0</v>
      </c>
      <c r="K580" s="2">
        <v>1.9900000099999999</v>
      </c>
      <c r="L580" s="2">
        <v>0</v>
      </c>
      <c r="M580" s="2">
        <v>0</v>
      </c>
      <c r="N580" s="2">
        <v>0</v>
      </c>
      <c r="O580" s="2">
        <v>194</v>
      </c>
      <c r="P580" s="2">
        <v>840</v>
      </c>
      <c r="Q580" s="2">
        <f t="shared" si="47"/>
        <v>194</v>
      </c>
      <c r="R580" s="2">
        <f t="shared" si="45"/>
        <v>1034</v>
      </c>
      <c r="S580" t="str">
        <f t="shared" si="49"/>
        <v>Sedentary</v>
      </c>
      <c r="T580" s="2">
        <v>2095</v>
      </c>
    </row>
    <row r="581" spans="1:20" x14ac:dyDescent="0.25">
      <c r="A581" s="2">
        <v>4445114986</v>
      </c>
      <c r="B581" s="3">
        <v>42474</v>
      </c>
      <c r="C581" t="str">
        <f t="shared" si="46"/>
        <v>Thursday</v>
      </c>
      <c r="D581" t="str">
        <f t="shared" si="48"/>
        <v>Weekday</v>
      </c>
      <c r="E581" s="2">
        <v>3974</v>
      </c>
      <c r="F581" s="2">
        <v>2.670000076</v>
      </c>
      <c r="G581" s="2">
        <v>2.670000076</v>
      </c>
      <c r="H581" s="2">
        <v>0</v>
      </c>
      <c r="I581" s="2">
        <v>0</v>
      </c>
      <c r="J581" s="2">
        <v>0</v>
      </c>
      <c r="K581" s="2">
        <v>2.670000076</v>
      </c>
      <c r="L581" s="2">
        <v>0</v>
      </c>
      <c r="M581" s="2">
        <v>0</v>
      </c>
      <c r="N581" s="2">
        <v>0</v>
      </c>
      <c r="O581" s="2">
        <v>231</v>
      </c>
      <c r="P581" s="2">
        <v>717</v>
      </c>
      <c r="Q581" s="2">
        <f t="shared" si="47"/>
        <v>231</v>
      </c>
      <c r="R581" s="2">
        <f t="shared" si="45"/>
        <v>948</v>
      </c>
      <c r="S581" t="str">
        <f t="shared" si="49"/>
        <v>Sedentary</v>
      </c>
      <c r="T581" s="2">
        <v>2194</v>
      </c>
    </row>
    <row r="582" spans="1:20" x14ac:dyDescent="0.25">
      <c r="A582" s="2">
        <v>4445114986</v>
      </c>
      <c r="B582" s="3">
        <v>42475</v>
      </c>
      <c r="C582" t="str">
        <f t="shared" si="46"/>
        <v>Friday</v>
      </c>
      <c r="D582" t="str">
        <f t="shared" si="48"/>
        <v>Weekday</v>
      </c>
      <c r="E582" s="2">
        <v>7198</v>
      </c>
      <c r="F582" s="2">
        <v>4.829999924</v>
      </c>
      <c r="G582" s="2">
        <v>4.829999924</v>
      </c>
      <c r="H582" s="2">
        <v>0</v>
      </c>
      <c r="I582" s="2">
        <v>0</v>
      </c>
      <c r="J582" s="2">
        <v>0</v>
      </c>
      <c r="K582" s="2">
        <v>4.829999924</v>
      </c>
      <c r="L582" s="2">
        <v>0</v>
      </c>
      <c r="M582" s="2">
        <v>0</v>
      </c>
      <c r="N582" s="2">
        <v>0</v>
      </c>
      <c r="O582" s="2">
        <v>350</v>
      </c>
      <c r="P582" s="2">
        <v>711</v>
      </c>
      <c r="Q582" s="2">
        <f t="shared" si="47"/>
        <v>350</v>
      </c>
      <c r="R582" s="2">
        <f t="shared" si="45"/>
        <v>1061</v>
      </c>
      <c r="S582" t="str">
        <f t="shared" si="49"/>
        <v>Lightly Active</v>
      </c>
      <c r="T582" s="2">
        <v>2496</v>
      </c>
    </row>
    <row r="583" spans="1:20" x14ac:dyDescent="0.25">
      <c r="A583" s="2">
        <v>4445114986</v>
      </c>
      <c r="B583" s="3">
        <v>42476</v>
      </c>
      <c r="C583" t="str">
        <f t="shared" si="46"/>
        <v>Saturday</v>
      </c>
      <c r="D583" t="str">
        <f t="shared" si="48"/>
        <v>Weekend</v>
      </c>
      <c r="E583" s="2">
        <v>3945</v>
      </c>
      <c r="F583" s="2">
        <v>2.6500000950000002</v>
      </c>
      <c r="G583" s="2">
        <v>2.6500000950000002</v>
      </c>
      <c r="H583" s="2">
        <v>0</v>
      </c>
      <c r="I583" s="2">
        <v>0</v>
      </c>
      <c r="J583" s="2">
        <v>0</v>
      </c>
      <c r="K583" s="2">
        <v>2.6500000950000002</v>
      </c>
      <c r="L583" s="2">
        <v>0</v>
      </c>
      <c r="M583" s="2">
        <v>0</v>
      </c>
      <c r="N583" s="2">
        <v>0</v>
      </c>
      <c r="O583" s="2">
        <v>225</v>
      </c>
      <c r="P583" s="2">
        <v>716</v>
      </c>
      <c r="Q583" s="2">
        <f t="shared" si="47"/>
        <v>225</v>
      </c>
      <c r="R583" s="2">
        <f t="shared" si="45"/>
        <v>941</v>
      </c>
      <c r="S583" t="str">
        <f t="shared" si="49"/>
        <v>Sedentary</v>
      </c>
      <c r="T583" s="2">
        <v>2180</v>
      </c>
    </row>
    <row r="584" spans="1:20" x14ac:dyDescent="0.25">
      <c r="A584" s="2">
        <v>4445114986</v>
      </c>
      <c r="B584" s="3">
        <v>42477</v>
      </c>
      <c r="C584" t="str">
        <f t="shared" si="46"/>
        <v>Sunday</v>
      </c>
      <c r="D584" t="str">
        <f t="shared" si="48"/>
        <v>Weekend</v>
      </c>
      <c r="E584" s="2">
        <v>2268</v>
      </c>
      <c r="F584" s="2">
        <v>1.519999981</v>
      </c>
      <c r="G584" s="2">
        <v>1.519999981</v>
      </c>
      <c r="H584" s="2">
        <v>0</v>
      </c>
      <c r="I584" s="2">
        <v>0</v>
      </c>
      <c r="J584" s="2">
        <v>0</v>
      </c>
      <c r="K584" s="2">
        <v>1.519999981</v>
      </c>
      <c r="L584" s="2">
        <v>0</v>
      </c>
      <c r="M584" s="2">
        <v>0</v>
      </c>
      <c r="N584" s="2">
        <v>0</v>
      </c>
      <c r="O584" s="2">
        <v>114</v>
      </c>
      <c r="P584" s="2">
        <v>1219</v>
      </c>
      <c r="Q584" s="2">
        <f t="shared" si="47"/>
        <v>114</v>
      </c>
      <c r="R584" s="2">
        <f t="shared" si="45"/>
        <v>1333</v>
      </c>
      <c r="S584" t="str">
        <f t="shared" si="49"/>
        <v>Sedentary</v>
      </c>
      <c r="T584" s="2">
        <v>1933</v>
      </c>
    </row>
    <row r="585" spans="1:20" x14ac:dyDescent="0.25">
      <c r="A585" s="2">
        <v>4445114986</v>
      </c>
      <c r="B585" s="3">
        <v>42478</v>
      </c>
      <c r="C585" t="str">
        <f t="shared" si="46"/>
        <v>Monday</v>
      </c>
      <c r="D585" t="str">
        <f t="shared" si="48"/>
        <v>Weekday</v>
      </c>
      <c r="E585" s="2">
        <v>6155</v>
      </c>
      <c r="F585" s="2">
        <v>4.2399997709999999</v>
      </c>
      <c r="G585" s="2">
        <v>4.2399997709999999</v>
      </c>
      <c r="H585" s="2">
        <v>0</v>
      </c>
      <c r="I585" s="2">
        <v>2</v>
      </c>
      <c r="J585" s="2">
        <v>0.28999999199999998</v>
      </c>
      <c r="K585" s="2">
        <v>1.9500000479999999</v>
      </c>
      <c r="L585" s="2">
        <v>0</v>
      </c>
      <c r="M585" s="2">
        <v>25</v>
      </c>
      <c r="N585" s="2">
        <v>6</v>
      </c>
      <c r="O585" s="2">
        <v>162</v>
      </c>
      <c r="P585" s="2">
        <v>1247</v>
      </c>
      <c r="Q585" s="2">
        <f t="shared" si="47"/>
        <v>193</v>
      </c>
      <c r="R585" s="2">
        <f t="shared" si="45"/>
        <v>1440</v>
      </c>
      <c r="S585" t="str">
        <f t="shared" si="49"/>
        <v>Lightly Active</v>
      </c>
      <c r="T585" s="2">
        <v>2248</v>
      </c>
    </row>
    <row r="586" spans="1:20" x14ac:dyDescent="0.25">
      <c r="A586" s="2">
        <v>4445114986</v>
      </c>
      <c r="B586" s="3">
        <v>42479</v>
      </c>
      <c r="C586" t="str">
        <f t="shared" si="46"/>
        <v>Tuesday</v>
      </c>
      <c r="D586" t="str">
        <f t="shared" si="48"/>
        <v>Weekday</v>
      </c>
      <c r="E586" s="2">
        <v>2064</v>
      </c>
      <c r="F586" s="2">
        <v>1.3899999860000001</v>
      </c>
      <c r="G586" s="2">
        <v>1.3899999860000001</v>
      </c>
      <c r="H586" s="2">
        <v>0</v>
      </c>
      <c r="I586" s="2">
        <v>0</v>
      </c>
      <c r="J586" s="2">
        <v>0</v>
      </c>
      <c r="K586" s="2">
        <v>1.3899999860000001</v>
      </c>
      <c r="L586" s="2">
        <v>0</v>
      </c>
      <c r="M586" s="2">
        <v>0</v>
      </c>
      <c r="N586" s="2">
        <v>0</v>
      </c>
      <c r="O586" s="2">
        <v>121</v>
      </c>
      <c r="P586" s="2">
        <v>895</v>
      </c>
      <c r="Q586" s="2">
        <f t="shared" si="47"/>
        <v>121</v>
      </c>
      <c r="R586" s="2">
        <f t="shared" si="45"/>
        <v>1016</v>
      </c>
      <c r="S586" t="str">
        <f t="shared" si="49"/>
        <v>Sedentary</v>
      </c>
      <c r="T586" s="2">
        <v>1954</v>
      </c>
    </row>
    <row r="587" spans="1:20" x14ac:dyDescent="0.25">
      <c r="A587" s="2">
        <v>4445114986</v>
      </c>
      <c r="B587" s="3">
        <v>42480</v>
      </c>
      <c r="C587" t="str">
        <f t="shared" si="46"/>
        <v>Wednesday</v>
      </c>
      <c r="D587" t="str">
        <f t="shared" si="48"/>
        <v>Weekday</v>
      </c>
      <c r="E587" s="2">
        <v>2072</v>
      </c>
      <c r="F587" s="2">
        <v>1.3899999860000001</v>
      </c>
      <c r="G587" s="2">
        <v>1.3899999860000001</v>
      </c>
      <c r="H587" s="2">
        <v>0</v>
      </c>
      <c r="I587" s="2">
        <v>0</v>
      </c>
      <c r="J587" s="2">
        <v>0</v>
      </c>
      <c r="K587" s="2">
        <v>1.3899999860000001</v>
      </c>
      <c r="L587" s="2">
        <v>0</v>
      </c>
      <c r="M587" s="2">
        <v>0</v>
      </c>
      <c r="N587" s="2">
        <v>0</v>
      </c>
      <c r="O587" s="2">
        <v>137</v>
      </c>
      <c r="P587" s="2">
        <v>841</v>
      </c>
      <c r="Q587" s="2">
        <f t="shared" si="47"/>
        <v>137</v>
      </c>
      <c r="R587" s="2">
        <f t="shared" si="45"/>
        <v>978</v>
      </c>
      <c r="S587" t="str">
        <f t="shared" si="49"/>
        <v>Sedentary</v>
      </c>
      <c r="T587" s="2">
        <v>1974</v>
      </c>
    </row>
    <row r="588" spans="1:20" x14ac:dyDescent="0.25">
      <c r="A588" s="2">
        <v>4445114986</v>
      </c>
      <c r="B588" s="3">
        <v>42481</v>
      </c>
      <c r="C588" t="str">
        <f t="shared" si="46"/>
        <v>Thursday</v>
      </c>
      <c r="D588" t="str">
        <f t="shared" si="48"/>
        <v>Weekday</v>
      </c>
      <c r="E588" s="2">
        <v>3809</v>
      </c>
      <c r="F588" s="2">
        <v>2.5599999430000002</v>
      </c>
      <c r="G588" s="2">
        <v>2.5599999430000002</v>
      </c>
      <c r="H588" s="2">
        <v>0</v>
      </c>
      <c r="I588" s="2">
        <v>0</v>
      </c>
      <c r="J588" s="2">
        <v>0</v>
      </c>
      <c r="K588" s="2">
        <v>2.539999962</v>
      </c>
      <c r="L588" s="2">
        <v>0</v>
      </c>
      <c r="M588" s="2">
        <v>0</v>
      </c>
      <c r="N588" s="2">
        <v>0</v>
      </c>
      <c r="O588" s="2">
        <v>215</v>
      </c>
      <c r="P588" s="2">
        <v>756</v>
      </c>
      <c r="Q588" s="2">
        <f t="shared" si="47"/>
        <v>215</v>
      </c>
      <c r="R588" s="2">
        <f t="shared" si="45"/>
        <v>971</v>
      </c>
      <c r="S588" t="str">
        <f t="shared" si="49"/>
        <v>Sedentary</v>
      </c>
      <c r="T588" s="2">
        <v>2150</v>
      </c>
    </row>
    <row r="589" spans="1:20" x14ac:dyDescent="0.25">
      <c r="A589" s="2">
        <v>4445114986</v>
      </c>
      <c r="B589" s="3">
        <v>42482</v>
      </c>
      <c r="C589" t="str">
        <f t="shared" si="46"/>
        <v>Friday</v>
      </c>
      <c r="D589" t="str">
        <f t="shared" si="48"/>
        <v>Weekday</v>
      </c>
      <c r="E589" s="2">
        <v>6831</v>
      </c>
      <c r="F589" s="2">
        <v>4.579999924</v>
      </c>
      <c r="G589" s="2">
        <v>4.579999924</v>
      </c>
      <c r="H589" s="2">
        <v>0</v>
      </c>
      <c r="I589" s="2">
        <v>0</v>
      </c>
      <c r="J589" s="2">
        <v>0</v>
      </c>
      <c r="K589" s="2">
        <v>4.579999924</v>
      </c>
      <c r="L589" s="2">
        <v>0</v>
      </c>
      <c r="M589" s="2">
        <v>0</v>
      </c>
      <c r="N589" s="2">
        <v>0</v>
      </c>
      <c r="O589" s="2">
        <v>317</v>
      </c>
      <c r="P589" s="2">
        <v>706</v>
      </c>
      <c r="Q589" s="2">
        <f t="shared" si="47"/>
        <v>317</v>
      </c>
      <c r="R589" s="2">
        <f t="shared" si="45"/>
        <v>1023</v>
      </c>
      <c r="S589" t="str">
        <f t="shared" si="49"/>
        <v>Lightly Active</v>
      </c>
      <c r="T589" s="2">
        <v>2432</v>
      </c>
    </row>
    <row r="590" spans="1:20" x14ac:dyDescent="0.25">
      <c r="A590" s="2">
        <v>4445114986</v>
      </c>
      <c r="B590" s="3">
        <v>42483</v>
      </c>
      <c r="C590" t="str">
        <f t="shared" si="46"/>
        <v>Saturday</v>
      </c>
      <c r="D590" t="str">
        <f t="shared" si="48"/>
        <v>Weekend</v>
      </c>
      <c r="E590" s="2">
        <v>4363</v>
      </c>
      <c r="F590" s="2">
        <v>2.9300000669999999</v>
      </c>
      <c r="G590" s="2">
        <v>2.9300000669999999</v>
      </c>
      <c r="H590" s="2">
        <v>0</v>
      </c>
      <c r="I590" s="2">
        <v>0</v>
      </c>
      <c r="J590" s="2">
        <v>0</v>
      </c>
      <c r="K590" s="2">
        <v>2.9300000669999999</v>
      </c>
      <c r="L590" s="2">
        <v>0</v>
      </c>
      <c r="M590" s="2">
        <v>0</v>
      </c>
      <c r="N590" s="2">
        <v>0</v>
      </c>
      <c r="O590" s="2">
        <v>201</v>
      </c>
      <c r="P590" s="2">
        <v>1239</v>
      </c>
      <c r="Q590" s="2">
        <f t="shared" si="47"/>
        <v>201</v>
      </c>
      <c r="R590" s="2">
        <f t="shared" si="45"/>
        <v>1440</v>
      </c>
      <c r="S590" t="str">
        <f t="shared" si="49"/>
        <v>Sedentary</v>
      </c>
      <c r="T590" s="2">
        <v>2149</v>
      </c>
    </row>
    <row r="591" spans="1:20" x14ac:dyDescent="0.25">
      <c r="A591" s="2">
        <v>4445114986</v>
      </c>
      <c r="B591" s="3">
        <v>42484</v>
      </c>
      <c r="C591" t="str">
        <f t="shared" si="46"/>
        <v>Sunday</v>
      </c>
      <c r="D591" t="str">
        <f t="shared" si="48"/>
        <v>Weekend</v>
      </c>
      <c r="E591" s="2">
        <v>5002</v>
      </c>
      <c r="F591" s="2">
        <v>3.3599998950000001</v>
      </c>
      <c r="G591" s="2">
        <v>3.3599998950000001</v>
      </c>
      <c r="H591" s="2">
        <v>0</v>
      </c>
      <c r="I591" s="2">
        <v>0</v>
      </c>
      <c r="J591" s="2">
        <v>0</v>
      </c>
      <c r="K591" s="2">
        <v>3.3599998950000001</v>
      </c>
      <c r="L591" s="2">
        <v>0</v>
      </c>
      <c r="M591" s="2">
        <v>0</v>
      </c>
      <c r="N591" s="2">
        <v>0</v>
      </c>
      <c r="O591" s="2">
        <v>244</v>
      </c>
      <c r="P591" s="2">
        <v>1196</v>
      </c>
      <c r="Q591" s="2">
        <f t="shared" si="47"/>
        <v>244</v>
      </c>
      <c r="R591" s="2">
        <f t="shared" si="45"/>
        <v>1440</v>
      </c>
      <c r="S591" t="str">
        <f t="shared" si="49"/>
        <v>Lightly Active</v>
      </c>
      <c r="T591" s="2">
        <v>2247</v>
      </c>
    </row>
    <row r="592" spans="1:20" x14ac:dyDescent="0.25">
      <c r="A592" s="2">
        <v>4445114986</v>
      </c>
      <c r="B592" s="3">
        <v>42485</v>
      </c>
      <c r="C592" t="str">
        <f t="shared" si="46"/>
        <v>Monday</v>
      </c>
      <c r="D592" t="str">
        <f t="shared" si="48"/>
        <v>Weekday</v>
      </c>
      <c r="E592" s="2">
        <v>3385</v>
      </c>
      <c r="F592" s="2">
        <v>2.2699999809999998</v>
      </c>
      <c r="G592" s="2">
        <v>2.2699999809999998</v>
      </c>
      <c r="H592" s="2">
        <v>0</v>
      </c>
      <c r="I592" s="2">
        <v>0</v>
      </c>
      <c r="J592" s="2">
        <v>0</v>
      </c>
      <c r="K592" s="2">
        <v>2.2699999809999998</v>
      </c>
      <c r="L592" s="2">
        <v>0</v>
      </c>
      <c r="M592" s="2">
        <v>0</v>
      </c>
      <c r="N592" s="2">
        <v>0</v>
      </c>
      <c r="O592" s="2">
        <v>179</v>
      </c>
      <c r="P592" s="2">
        <v>916</v>
      </c>
      <c r="Q592" s="2">
        <f t="shared" si="47"/>
        <v>179</v>
      </c>
      <c r="R592" s="2">
        <f t="shared" si="45"/>
        <v>1095</v>
      </c>
      <c r="S592" t="str">
        <f t="shared" si="49"/>
        <v>Sedentary</v>
      </c>
      <c r="T592" s="2">
        <v>2070</v>
      </c>
    </row>
    <row r="593" spans="1:20" x14ac:dyDescent="0.25">
      <c r="A593" s="2">
        <v>4445114986</v>
      </c>
      <c r="B593" s="3">
        <v>42486</v>
      </c>
      <c r="C593" t="str">
        <f t="shared" si="46"/>
        <v>Tuesday</v>
      </c>
      <c r="D593" t="str">
        <f t="shared" si="48"/>
        <v>Weekday</v>
      </c>
      <c r="E593" s="2">
        <v>6326</v>
      </c>
      <c r="F593" s="2">
        <v>4.4099998469999999</v>
      </c>
      <c r="G593" s="2">
        <v>4.4099998469999999</v>
      </c>
      <c r="H593" s="2">
        <v>0</v>
      </c>
      <c r="I593" s="2">
        <v>2.4100000860000002</v>
      </c>
      <c r="J593" s="2">
        <v>3.9999999000000001E-2</v>
      </c>
      <c r="K593" s="2">
        <v>1.960000038</v>
      </c>
      <c r="L593" s="2">
        <v>0</v>
      </c>
      <c r="M593" s="2">
        <v>29</v>
      </c>
      <c r="N593" s="2">
        <v>1</v>
      </c>
      <c r="O593" s="2">
        <v>180</v>
      </c>
      <c r="P593" s="2">
        <v>839</v>
      </c>
      <c r="Q593" s="2">
        <f t="shared" si="47"/>
        <v>210</v>
      </c>
      <c r="R593" s="2">
        <f t="shared" si="45"/>
        <v>1049</v>
      </c>
      <c r="S593" t="str">
        <f t="shared" si="49"/>
        <v>Lightly Active</v>
      </c>
      <c r="T593" s="2">
        <v>2291</v>
      </c>
    </row>
    <row r="594" spans="1:20" x14ac:dyDescent="0.25">
      <c r="A594" s="2">
        <v>4445114986</v>
      </c>
      <c r="B594" s="3">
        <v>42487</v>
      </c>
      <c r="C594" t="str">
        <f t="shared" si="46"/>
        <v>Wednesday</v>
      </c>
      <c r="D594" t="str">
        <f t="shared" si="48"/>
        <v>Weekday</v>
      </c>
      <c r="E594" s="2">
        <v>7243</v>
      </c>
      <c r="F594" s="2">
        <v>5.0300002099999999</v>
      </c>
      <c r="G594" s="2">
        <v>5.0300002099999999</v>
      </c>
      <c r="H594" s="2">
        <v>0</v>
      </c>
      <c r="I594" s="2">
        <v>2.619999886</v>
      </c>
      <c r="J594" s="2">
        <v>2.9999998999999999E-2</v>
      </c>
      <c r="K594" s="2">
        <v>2.380000114</v>
      </c>
      <c r="L594" s="2">
        <v>0</v>
      </c>
      <c r="M594" s="2">
        <v>32</v>
      </c>
      <c r="N594" s="2">
        <v>1</v>
      </c>
      <c r="O594" s="2">
        <v>194</v>
      </c>
      <c r="P594" s="2">
        <v>839</v>
      </c>
      <c r="Q594" s="2">
        <f t="shared" si="47"/>
        <v>227</v>
      </c>
      <c r="R594" s="2">
        <f t="shared" si="45"/>
        <v>1066</v>
      </c>
      <c r="S594" t="str">
        <f t="shared" si="49"/>
        <v>Lightly Active</v>
      </c>
      <c r="T594" s="2">
        <v>2361</v>
      </c>
    </row>
    <row r="595" spans="1:20" x14ac:dyDescent="0.25">
      <c r="A595" s="2">
        <v>4445114986</v>
      </c>
      <c r="B595" s="3">
        <v>42488</v>
      </c>
      <c r="C595" t="str">
        <f t="shared" si="46"/>
        <v>Thursday</v>
      </c>
      <c r="D595" t="str">
        <f t="shared" si="48"/>
        <v>Weekday</v>
      </c>
      <c r="E595" s="2">
        <v>4493</v>
      </c>
      <c r="F595" s="2">
        <v>3.0099999899999998</v>
      </c>
      <c r="G595" s="2">
        <v>3.0099999899999998</v>
      </c>
      <c r="H595" s="2">
        <v>0</v>
      </c>
      <c r="I595" s="2">
        <v>0</v>
      </c>
      <c r="J595" s="2">
        <v>0</v>
      </c>
      <c r="K595" s="2">
        <v>3.0099999899999998</v>
      </c>
      <c r="L595" s="2">
        <v>0</v>
      </c>
      <c r="M595" s="2">
        <v>0</v>
      </c>
      <c r="N595" s="2">
        <v>0</v>
      </c>
      <c r="O595" s="2">
        <v>236</v>
      </c>
      <c r="P595" s="2">
        <v>762</v>
      </c>
      <c r="Q595" s="2">
        <f t="shared" si="47"/>
        <v>236</v>
      </c>
      <c r="R595" s="2">
        <f t="shared" si="45"/>
        <v>998</v>
      </c>
      <c r="S595" t="str">
        <f t="shared" si="49"/>
        <v>Sedentary</v>
      </c>
      <c r="T595" s="2">
        <v>2203</v>
      </c>
    </row>
    <row r="596" spans="1:20" x14ac:dyDescent="0.25">
      <c r="A596" s="2">
        <v>4445114986</v>
      </c>
      <c r="B596" s="3">
        <v>42489</v>
      </c>
      <c r="C596" t="str">
        <f t="shared" si="46"/>
        <v>Friday</v>
      </c>
      <c r="D596" t="str">
        <f t="shared" si="48"/>
        <v>Weekday</v>
      </c>
      <c r="E596" s="2">
        <v>4676</v>
      </c>
      <c r="F596" s="2">
        <v>3.1400001049999999</v>
      </c>
      <c r="G596" s="2">
        <v>3.1400001049999999</v>
      </c>
      <c r="H596" s="2">
        <v>0</v>
      </c>
      <c r="I596" s="2">
        <v>0</v>
      </c>
      <c r="J596" s="2">
        <v>0</v>
      </c>
      <c r="K596" s="2">
        <v>3.130000114</v>
      </c>
      <c r="L596" s="2">
        <v>0</v>
      </c>
      <c r="M596" s="2">
        <v>0</v>
      </c>
      <c r="N596" s="2">
        <v>0</v>
      </c>
      <c r="O596" s="2">
        <v>226</v>
      </c>
      <c r="P596" s="2">
        <v>1106</v>
      </c>
      <c r="Q596" s="2">
        <f t="shared" si="47"/>
        <v>226</v>
      </c>
      <c r="R596" s="2">
        <f t="shared" si="45"/>
        <v>1332</v>
      </c>
      <c r="S596" t="str">
        <f t="shared" si="49"/>
        <v>Sedentary</v>
      </c>
      <c r="T596" s="2">
        <v>2196</v>
      </c>
    </row>
    <row r="597" spans="1:20" x14ac:dyDescent="0.25">
      <c r="A597" s="2">
        <v>4445114986</v>
      </c>
      <c r="B597" s="3">
        <v>42490</v>
      </c>
      <c r="C597" t="str">
        <f t="shared" si="46"/>
        <v>Saturday</v>
      </c>
      <c r="D597" t="str">
        <f t="shared" si="48"/>
        <v>Weekend</v>
      </c>
      <c r="E597" s="2">
        <v>6222</v>
      </c>
      <c r="F597" s="2">
        <v>4.1799998279999997</v>
      </c>
      <c r="G597" s="2">
        <v>4.1799998279999997</v>
      </c>
      <c r="H597" s="2">
        <v>0</v>
      </c>
      <c r="I597" s="2">
        <v>0</v>
      </c>
      <c r="J597" s="2">
        <v>0</v>
      </c>
      <c r="K597" s="2">
        <v>4.1799998279999997</v>
      </c>
      <c r="L597" s="2">
        <v>0</v>
      </c>
      <c r="M597" s="2">
        <v>0</v>
      </c>
      <c r="N597" s="2">
        <v>0</v>
      </c>
      <c r="O597" s="2">
        <v>290</v>
      </c>
      <c r="P597" s="2">
        <v>797</v>
      </c>
      <c r="Q597" s="2">
        <f t="shared" si="47"/>
        <v>290</v>
      </c>
      <c r="R597" s="2">
        <f t="shared" si="45"/>
        <v>1087</v>
      </c>
      <c r="S597" t="str">
        <f t="shared" si="49"/>
        <v>Lightly Active</v>
      </c>
      <c r="T597" s="2">
        <v>2363</v>
      </c>
    </row>
    <row r="598" spans="1:20" x14ac:dyDescent="0.25">
      <c r="A598" s="2">
        <v>4445114986</v>
      </c>
      <c r="B598" s="3">
        <v>42491</v>
      </c>
      <c r="C598" t="str">
        <f t="shared" si="46"/>
        <v>Sunday</v>
      </c>
      <c r="D598" t="str">
        <f t="shared" si="48"/>
        <v>Weekend</v>
      </c>
      <c r="E598" s="2">
        <v>5232</v>
      </c>
      <c r="F598" s="2">
        <v>3.5099999899999998</v>
      </c>
      <c r="G598" s="2">
        <v>3.5099999899999998</v>
      </c>
      <c r="H598" s="2">
        <v>0</v>
      </c>
      <c r="I598" s="2">
        <v>0</v>
      </c>
      <c r="J598" s="2">
        <v>0</v>
      </c>
      <c r="K598" s="2">
        <v>3.5099999899999998</v>
      </c>
      <c r="L598" s="2">
        <v>0</v>
      </c>
      <c r="M598" s="2">
        <v>0</v>
      </c>
      <c r="N598" s="2">
        <v>0</v>
      </c>
      <c r="O598" s="2">
        <v>240</v>
      </c>
      <c r="P598" s="2">
        <v>741</v>
      </c>
      <c r="Q598" s="2">
        <f t="shared" si="47"/>
        <v>240</v>
      </c>
      <c r="R598" s="2">
        <f t="shared" si="45"/>
        <v>981</v>
      </c>
      <c r="S598" t="str">
        <f t="shared" si="49"/>
        <v>Lightly Active</v>
      </c>
      <c r="T598" s="2">
        <v>2246</v>
      </c>
    </row>
    <row r="599" spans="1:20" x14ac:dyDescent="0.25">
      <c r="A599" s="2">
        <v>4445114986</v>
      </c>
      <c r="B599" s="3">
        <v>42492</v>
      </c>
      <c r="C599" t="str">
        <f t="shared" si="46"/>
        <v>Monday</v>
      </c>
      <c r="D599" t="str">
        <f t="shared" si="48"/>
        <v>Weekday</v>
      </c>
      <c r="E599" s="2">
        <v>6910</v>
      </c>
      <c r="F599" s="2">
        <v>4.75</v>
      </c>
      <c r="G599" s="2">
        <v>4.75</v>
      </c>
      <c r="H599" s="2">
        <v>0</v>
      </c>
      <c r="I599" s="2">
        <v>2.210000038</v>
      </c>
      <c r="J599" s="2">
        <v>0.189999998</v>
      </c>
      <c r="K599" s="2">
        <v>2.3499999049999998</v>
      </c>
      <c r="L599" s="2">
        <v>0</v>
      </c>
      <c r="M599" s="2">
        <v>27</v>
      </c>
      <c r="N599" s="2">
        <v>4</v>
      </c>
      <c r="O599" s="2">
        <v>200</v>
      </c>
      <c r="P599" s="2">
        <v>667</v>
      </c>
      <c r="Q599" s="2">
        <f t="shared" si="47"/>
        <v>231</v>
      </c>
      <c r="R599" s="2">
        <f t="shared" si="45"/>
        <v>898</v>
      </c>
      <c r="S599" t="str">
        <f t="shared" si="49"/>
        <v>Lightly Active</v>
      </c>
      <c r="T599" s="2">
        <v>2336</v>
      </c>
    </row>
    <row r="600" spans="1:20" x14ac:dyDescent="0.25">
      <c r="A600" s="2">
        <v>4445114986</v>
      </c>
      <c r="B600" s="3">
        <v>42493</v>
      </c>
      <c r="C600" t="str">
        <f t="shared" si="46"/>
        <v>Tuesday</v>
      </c>
      <c r="D600" t="str">
        <f t="shared" si="48"/>
        <v>Weekday</v>
      </c>
      <c r="E600" s="2">
        <v>7502</v>
      </c>
      <c r="F600" s="2">
        <v>5.1799998279999997</v>
      </c>
      <c r="G600" s="2">
        <v>5.1799998279999997</v>
      </c>
      <c r="H600" s="2">
        <v>0</v>
      </c>
      <c r="I600" s="2">
        <v>2.4800000190000002</v>
      </c>
      <c r="J600" s="2">
        <v>0.109999999</v>
      </c>
      <c r="K600" s="2">
        <v>2.579999924</v>
      </c>
      <c r="L600" s="2">
        <v>0</v>
      </c>
      <c r="M600" s="2">
        <v>30</v>
      </c>
      <c r="N600" s="2">
        <v>2</v>
      </c>
      <c r="O600" s="2">
        <v>233</v>
      </c>
      <c r="P600" s="2">
        <v>725</v>
      </c>
      <c r="Q600" s="2">
        <f t="shared" si="47"/>
        <v>265</v>
      </c>
      <c r="R600" s="2">
        <f t="shared" si="45"/>
        <v>990</v>
      </c>
      <c r="S600" t="str">
        <f t="shared" si="49"/>
        <v>Fairly Active</v>
      </c>
      <c r="T600" s="2">
        <v>2421</v>
      </c>
    </row>
    <row r="601" spans="1:20" x14ac:dyDescent="0.25">
      <c r="A601" s="2">
        <v>4445114986</v>
      </c>
      <c r="B601" s="3">
        <v>42494</v>
      </c>
      <c r="C601" t="str">
        <f t="shared" si="46"/>
        <v>Wednesday</v>
      </c>
      <c r="D601" t="str">
        <f t="shared" si="48"/>
        <v>Weekday</v>
      </c>
      <c r="E601" s="2">
        <v>2923</v>
      </c>
      <c r="F601" s="2">
        <v>1.960000038</v>
      </c>
      <c r="G601" s="2">
        <v>1.960000038</v>
      </c>
      <c r="H601" s="2">
        <v>0</v>
      </c>
      <c r="I601" s="2">
        <v>0</v>
      </c>
      <c r="J601" s="2">
        <v>0</v>
      </c>
      <c r="K601" s="2">
        <v>1.960000038</v>
      </c>
      <c r="L601" s="2">
        <v>0</v>
      </c>
      <c r="M601" s="2">
        <v>0</v>
      </c>
      <c r="N601" s="2">
        <v>0</v>
      </c>
      <c r="O601" s="2">
        <v>180</v>
      </c>
      <c r="P601" s="2">
        <v>897</v>
      </c>
      <c r="Q601" s="2">
        <f t="shared" si="47"/>
        <v>180</v>
      </c>
      <c r="R601" s="2">
        <f t="shared" si="45"/>
        <v>1077</v>
      </c>
      <c r="S601" t="str">
        <f t="shared" si="49"/>
        <v>Sedentary</v>
      </c>
      <c r="T601" s="2">
        <v>2070</v>
      </c>
    </row>
    <row r="602" spans="1:20" x14ac:dyDescent="0.25">
      <c r="A602" s="2">
        <v>4445114986</v>
      </c>
      <c r="B602" s="3">
        <v>42495</v>
      </c>
      <c r="C602" t="str">
        <f t="shared" si="46"/>
        <v>Thursday</v>
      </c>
      <c r="D602" t="str">
        <f t="shared" si="48"/>
        <v>Weekday</v>
      </c>
      <c r="E602" s="2">
        <v>3800</v>
      </c>
      <c r="F602" s="2">
        <v>2.5499999519999998</v>
      </c>
      <c r="G602" s="2">
        <v>2.5499999519999998</v>
      </c>
      <c r="H602" s="2">
        <v>0</v>
      </c>
      <c r="I602" s="2">
        <v>0.119999997</v>
      </c>
      <c r="J602" s="2">
        <v>0.23999999499999999</v>
      </c>
      <c r="K602" s="2">
        <v>2.1800000669999999</v>
      </c>
      <c r="L602" s="2">
        <v>0</v>
      </c>
      <c r="M602" s="2">
        <v>2</v>
      </c>
      <c r="N602" s="2">
        <v>6</v>
      </c>
      <c r="O602" s="2">
        <v>185</v>
      </c>
      <c r="P602" s="2">
        <v>734</v>
      </c>
      <c r="Q602" s="2">
        <f t="shared" si="47"/>
        <v>193</v>
      </c>
      <c r="R602" s="2">
        <f t="shared" si="45"/>
        <v>927</v>
      </c>
      <c r="S602" t="str">
        <f t="shared" si="49"/>
        <v>Sedentary</v>
      </c>
      <c r="T602" s="2">
        <v>2120</v>
      </c>
    </row>
    <row r="603" spans="1:20" x14ac:dyDescent="0.25">
      <c r="A603" s="2">
        <v>4445114986</v>
      </c>
      <c r="B603" s="3">
        <v>42496</v>
      </c>
      <c r="C603" t="str">
        <f t="shared" si="46"/>
        <v>Friday</v>
      </c>
      <c r="D603" t="str">
        <f t="shared" si="48"/>
        <v>Weekday</v>
      </c>
      <c r="E603" s="2">
        <v>4514</v>
      </c>
      <c r="F603" s="2">
        <v>3.0299999710000001</v>
      </c>
      <c r="G603" s="2">
        <v>3.0299999710000001</v>
      </c>
      <c r="H603" s="2">
        <v>0</v>
      </c>
      <c r="I603" s="2">
        <v>0</v>
      </c>
      <c r="J603" s="2">
        <v>0</v>
      </c>
      <c r="K603" s="2">
        <v>3.0299999710000001</v>
      </c>
      <c r="L603" s="2">
        <v>0</v>
      </c>
      <c r="M603" s="2">
        <v>0</v>
      </c>
      <c r="N603" s="2">
        <v>0</v>
      </c>
      <c r="O603" s="2">
        <v>229</v>
      </c>
      <c r="P603" s="2">
        <v>809</v>
      </c>
      <c r="Q603" s="2">
        <f t="shared" si="47"/>
        <v>229</v>
      </c>
      <c r="R603" s="2">
        <f t="shared" si="45"/>
        <v>1038</v>
      </c>
      <c r="S603" t="str">
        <f t="shared" si="49"/>
        <v>Sedentary</v>
      </c>
      <c r="T603" s="2">
        <v>2211</v>
      </c>
    </row>
    <row r="604" spans="1:20" x14ac:dyDescent="0.25">
      <c r="A604" s="2">
        <v>4445114986</v>
      </c>
      <c r="B604" s="3">
        <v>42497</v>
      </c>
      <c r="C604" t="str">
        <f t="shared" si="46"/>
        <v>Saturday</v>
      </c>
      <c r="D604" t="str">
        <f t="shared" si="48"/>
        <v>Weekend</v>
      </c>
      <c r="E604" s="2">
        <v>5183</v>
      </c>
      <c r="F604" s="2">
        <v>3.5899999139999998</v>
      </c>
      <c r="G604" s="2">
        <v>3.5899999139999998</v>
      </c>
      <c r="H604" s="2">
        <v>0</v>
      </c>
      <c r="I604" s="2">
        <v>2.130000114</v>
      </c>
      <c r="J604" s="2">
        <v>0.189999998</v>
      </c>
      <c r="K604" s="2">
        <v>1.25</v>
      </c>
      <c r="L604" s="2">
        <v>0</v>
      </c>
      <c r="M604" s="2">
        <v>26</v>
      </c>
      <c r="N604" s="2">
        <v>4</v>
      </c>
      <c r="O604" s="2">
        <v>108</v>
      </c>
      <c r="P604" s="2">
        <v>866</v>
      </c>
      <c r="Q604" s="2">
        <f t="shared" si="47"/>
        <v>138</v>
      </c>
      <c r="R604" s="2">
        <f t="shared" si="45"/>
        <v>1004</v>
      </c>
      <c r="S604" t="str">
        <f t="shared" si="49"/>
        <v>Lightly Active</v>
      </c>
      <c r="T604" s="2">
        <v>2123</v>
      </c>
    </row>
    <row r="605" spans="1:20" x14ac:dyDescent="0.25">
      <c r="A605" s="2">
        <v>4445114986</v>
      </c>
      <c r="B605" s="3">
        <v>42498</v>
      </c>
      <c r="C605" t="str">
        <f t="shared" si="46"/>
        <v>Sunday</v>
      </c>
      <c r="D605" t="str">
        <f t="shared" si="48"/>
        <v>Weekend</v>
      </c>
      <c r="E605" s="2">
        <v>7303</v>
      </c>
      <c r="F605" s="2">
        <v>4.9000000950000002</v>
      </c>
      <c r="G605" s="2">
        <v>4.9000000950000002</v>
      </c>
      <c r="H605" s="2">
        <v>0</v>
      </c>
      <c r="I605" s="2">
        <v>0</v>
      </c>
      <c r="J605" s="2">
        <v>0.25</v>
      </c>
      <c r="K605" s="2">
        <v>4.6500000950000002</v>
      </c>
      <c r="L605" s="2">
        <v>0</v>
      </c>
      <c r="M605" s="2">
        <v>0</v>
      </c>
      <c r="N605" s="2">
        <v>8</v>
      </c>
      <c r="O605" s="2">
        <v>308</v>
      </c>
      <c r="P605" s="2">
        <v>733</v>
      </c>
      <c r="Q605" s="2">
        <f t="shared" si="47"/>
        <v>316</v>
      </c>
      <c r="R605" s="2">
        <f t="shared" si="45"/>
        <v>1049</v>
      </c>
      <c r="S605" t="str">
        <f t="shared" si="49"/>
        <v>Lightly Active</v>
      </c>
      <c r="T605" s="2">
        <v>2423</v>
      </c>
    </row>
    <row r="606" spans="1:20" x14ac:dyDescent="0.25">
      <c r="A606" s="2">
        <v>4445114986</v>
      </c>
      <c r="B606" s="3">
        <v>42499</v>
      </c>
      <c r="C606" t="str">
        <f t="shared" si="46"/>
        <v>Monday</v>
      </c>
      <c r="D606" t="str">
        <f t="shared" si="48"/>
        <v>Weekday</v>
      </c>
      <c r="E606" s="2">
        <v>5275</v>
      </c>
      <c r="F606" s="2">
        <v>3.539999962</v>
      </c>
      <c r="G606" s="2">
        <v>3.539999962</v>
      </c>
      <c r="H606" s="2">
        <v>0</v>
      </c>
      <c r="I606" s="2">
        <v>0</v>
      </c>
      <c r="J606" s="2">
        <v>0</v>
      </c>
      <c r="K606" s="2">
        <v>3.539999962</v>
      </c>
      <c r="L606" s="2">
        <v>0</v>
      </c>
      <c r="M606" s="2">
        <v>0</v>
      </c>
      <c r="N606" s="2">
        <v>0</v>
      </c>
      <c r="O606" s="2">
        <v>266</v>
      </c>
      <c r="P606" s="2">
        <v>641</v>
      </c>
      <c r="Q606" s="2">
        <f t="shared" si="47"/>
        <v>266</v>
      </c>
      <c r="R606" s="2">
        <f t="shared" si="45"/>
        <v>907</v>
      </c>
      <c r="S606" t="str">
        <f t="shared" si="49"/>
        <v>Lightly Active</v>
      </c>
      <c r="T606" s="2">
        <v>2281</v>
      </c>
    </row>
    <row r="607" spans="1:20" x14ac:dyDescent="0.25">
      <c r="A607" s="2">
        <v>4445114986</v>
      </c>
      <c r="B607" s="3">
        <v>42500</v>
      </c>
      <c r="C607" t="str">
        <f t="shared" si="46"/>
        <v>Tuesday</v>
      </c>
      <c r="D607" t="str">
        <f t="shared" si="48"/>
        <v>Weekday</v>
      </c>
      <c r="E607" s="2">
        <v>3915</v>
      </c>
      <c r="F607" s="2">
        <v>2.630000114</v>
      </c>
      <c r="G607" s="2">
        <v>2.630000114</v>
      </c>
      <c r="H607" s="2">
        <v>0</v>
      </c>
      <c r="I607" s="2">
        <v>0</v>
      </c>
      <c r="J607" s="2">
        <v>0</v>
      </c>
      <c r="K607" s="2">
        <v>2.630000114</v>
      </c>
      <c r="L607" s="2">
        <v>0</v>
      </c>
      <c r="M607" s="2">
        <v>0</v>
      </c>
      <c r="N607" s="2">
        <v>0</v>
      </c>
      <c r="O607" s="2">
        <v>231</v>
      </c>
      <c r="P607" s="2">
        <v>783</v>
      </c>
      <c r="Q607" s="2">
        <f t="shared" si="47"/>
        <v>231</v>
      </c>
      <c r="R607" s="2">
        <f t="shared" si="45"/>
        <v>1014</v>
      </c>
      <c r="S607" t="str">
        <f t="shared" si="49"/>
        <v>Sedentary</v>
      </c>
      <c r="T607" s="2">
        <v>2181</v>
      </c>
    </row>
    <row r="608" spans="1:20" x14ac:dyDescent="0.25">
      <c r="A608" s="2">
        <v>4445114986</v>
      </c>
      <c r="B608" s="3">
        <v>42501</v>
      </c>
      <c r="C608" t="str">
        <f t="shared" si="46"/>
        <v>Wednesday</v>
      </c>
      <c r="D608" t="str">
        <f t="shared" si="48"/>
        <v>Weekday</v>
      </c>
      <c r="E608" s="2">
        <v>9105</v>
      </c>
      <c r="F608" s="2">
        <v>6.1100001339999999</v>
      </c>
      <c r="G608" s="2">
        <v>6.1100001339999999</v>
      </c>
      <c r="H608" s="2">
        <v>0</v>
      </c>
      <c r="I608" s="2">
        <v>2.25</v>
      </c>
      <c r="J608" s="2">
        <v>1</v>
      </c>
      <c r="K608" s="2">
        <v>2.8599998950000001</v>
      </c>
      <c r="L608" s="2">
        <v>0</v>
      </c>
      <c r="M608" s="2">
        <v>34</v>
      </c>
      <c r="N608" s="2">
        <v>22</v>
      </c>
      <c r="O608" s="2">
        <v>232</v>
      </c>
      <c r="P608" s="2">
        <v>622</v>
      </c>
      <c r="Q608" s="2">
        <f t="shared" si="47"/>
        <v>288</v>
      </c>
      <c r="R608" s="2">
        <f t="shared" si="45"/>
        <v>910</v>
      </c>
      <c r="S608" t="str">
        <f t="shared" si="49"/>
        <v>Fairly Active</v>
      </c>
      <c r="T608" s="2">
        <v>2499</v>
      </c>
    </row>
    <row r="609" spans="1:20" x14ac:dyDescent="0.25">
      <c r="A609" s="2">
        <v>4558609924</v>
      </c>
      <c r="B609" s="3">
        <v>42461</v>
      </c>
      <c r="C609" t="str">
        <f t="shared" si="46"/>
        <v>Friday</v>
      </c>
      <c r="D609" t="str">
        <f t="shared" si="48"/>
        <v>Weekday</v>
      </c>
      <c r="E609" s="2">
        <v>5336</v>
      </c>
      <c r="F609" s="2">
        <v>3.5299999710000001</v>
      </c>
      <c r="G609" s="2">
        <v>3.5299999710000001</v>
      </c>
      <c r="H609" s="2">
        <v>0</v>
      </c>
      <c r="I609" s="2">
        <v>0</v>
      </c>
      <c r="J609" s="2">
        <v>0</v>
      </c>
      <c r="K609" s="2">
        <v>3.5299999710000001</v>
      </c>
      <c r="L609" s="2">
        <v>0</v>
      </c>
      <c r="M609" s="2">
        <v>0</v>
      </c>
      <c r="N609" s="2">
        <v>0</v>
      </c>
      <c r="O609" s="2">
        <v>258</v>
      </c>
      <c r="P609" s="2">
        <v>1182</v>
      </c>
      <c r="Q609" s="2">
        <f t="shared" si="47"/>
        <v>258</v>
      </c>
      <c r="R609" s="2">
        <f t="shared" si="45"/>
        <v>1440</v>
      </c>
      <c r="S609" t="str">
        <f t="shared" si="49"/>
        <v>Lightly Active</v>
      </c>
      <c r="T609" s="2">
        <v>1902</v>
      </c>
    </row>
    <row r="610" spans="1:20" x14ac:dyDescent="0.25">
      <c r="A610" s="2">
        <v>4558609924</v>
      </c>
      <c r="B610" s="3">
        <v>42462</v>
      </c>
      <c r="C610" t="str">
        <f t="shared" si="46"/>
        <v>Saturday</v>
      </c>
      <c r="D610" t="str">
        <f t="shared" si="48"/>
        <v>Weekend</v>
      </c>
      <c r="E610" s="2">
        <v>3183</v>
      </c>
      <c r="F610" s="2">
        <v>2.0999999049999998</v>
      </c>
      <c r="G610" s="2">
        <v>2.0999999049999998</v>
      </c>
      <c r="H610" s="2">
        <v>0</v>
      </c>
      <c r="I610" s="2">
        <v>0</v>
      </c>
      <c r="J610" s="2">
        <v>0</v>
      </c>
      <c r="K610" s="2">
        <v>2.0999999049999998</v>
      </c>
      <c r="L610" s="2">
        <v>0</v>
      </c>
      <c r="M610" s="2">
        <v>0</v>
      </c>
      <c r="N610" s="2">
        <v>0</v>
      </c>
      <c r="O610" s="2">
        <v>173</v>
      </c>
      <c r="P610" s="2">
        <v>1180</v>
      </c>
      <c r="Q610" s="2">
        <f t="shared" si="47"/>
        <v>173</v>
      </c>
      <c r="R610" s="2">
        <f t="shared" si="45"/>
        <v>1353</v>
      </c>
      <c r="S610" t="str">
        <f t="shared" si="49"/>
        <v>Sedentary</v>
      </c>
      <c r="T610" s="2">
        <v>1680</v>
      </c>
    </row>
    <row r="611" spans="1:20" x14ac:dyDescent="0.25">
      <c r="A611" s="2">
        <v>4558609924</v>
      </c>
      <c r="B611" s="3">
        <v>42463</v>
      </c>
      <c r="C611" t="str">
        <f t="shared" si="46"/>
        <v>Sunday</v>
      </c>
      <c r="D611" t="str">
        <f t="shared" si="48"/>
        <v>Weekend</v>
      </c>
      <c r="E611" s="2">
        <v>6176</v>
      </c>
      <c r="F611" s="2">
        <v>4.079999924</v>
      </c>
      <c r="G611" s="2">
        <v>4.079999924</v>
      </c>
      <c r="H611" s="2">
        <v>0</v>
      </c>
      <c r="I611" s="2">
        <v>7.0000000000000007E-2</v>
      </c>
      <c r="J611" s="2">
        <v>0.25999999000000001</v>
      </c>
      <c r="K611" s="2">
        <v>3.75</v>
      </c>
      <c r="L611" s="2">
        <v>0</v>
      </c>
      <c r="M611" s="2">
        <v>1</v>
      </c>
      <c r="N611" s="2">
        <v>7</v>
      </c>
      <c r="O611" s="2">
        <v>269</v>
      </c>
      <c r="P611" s="2">
        <v>886</v>
      </c>
      <c r="Q611" s="2">
        <f t="shared" si="47"/>
        <v>277</v>
      </c>
      <c r="R611" s="2">
        <f t="shared" si="45"/>
        <v>1163</v>
      </c>
      <c r="S611" t="str">
        <f t="shared" si="49"/>
        <v>Lightly Active</v>
      </c>
      <c r="T611" s="2">
        <v>1901</v>
      </c>
    </row>
    <row r="612" spans="1:20" x14ac:dyDescent="0.25">
      <c r="A612" s="2">
        <v>4558609924</v>
      </c>
      <c r="B612" s="3">
        <v>42464</v>
      </c>
      <c r="C612" t="str">
        <f t="shared" si="46"/>
        <v>Monday</v>
      </c>
      <c r="D612" t="str">
        <f t="shared" si="48"/>
        <v>Weekday</v>
      </c>
      <c r="E612" s="2">
        <v>8205</v>
      </c>
      <c r="F612" s="2">
        <v>5.420000076</v>
      </c>
      <c r="G612" s="2">
        <v>5.420000076</v>
      </c>
      <c r="H612" s="2">
        <v>0</v>
      </c>
      <c r="I612" s="2">
        <v>0</v>
      </c>
      <c r="J612" s="2">
        <v>0</v>
      </c>
      <c r="K612" s="2">
        <v>5.420000076</v>
      </c>
      <c r="L612" s="2">
        <v>0</v>
      </c>
      <c r="M612" s="2">
        <v>0</v>
      </c>
      <c r="N612" s="2">
        <v>0</v>
      </c>
      <c r="O612" s="2">
        <v>367</v>
      </c>
      <c r="P612" s="2">
        <v>1073</v>
      </c>
      <c r="Q612" s="2">
        <f t="shared" si="47"/>
        <v>367</v>
      </c>
      <c r="R612" s="2">
        <f t="shared" si="45"/>
        <v>1440</v>
      </c>
      <c r="S612" t="str">
        <f t="shared" si="49"/>
        <v>Fairly Active</v>
      </c>
      <c r="T612" s="2">
        <v>2078</v>
      </c>
    </row>
    <row r="613" spans="1:20" x14ac:dyDescent="0.25">
      <c r="A613" s="2">
        <v>4558609924</v>
      </c>
      <c r="B613" s="3">
        <v>42465</v>
      </c>
      <c r="C613" t="str">
        <f t="shared" si="46"/>
        <v>Tuesday</v>
      </c>
      <c r="D613" t="str">
        <f t="shared" si="48"/>
        <v>Weekday</v>
      </c>
      <c r="E613" s="2">
        <v>6799</v>
      </c>
      <c r="F613" s="2">
        <v>4.4899997709999999</v>
      </c>
      <c r="G613" s="2">
        <v>4.4899997709999999</v>
      </c>
      <c r="H613" s="2">
        <v>0</v>
      </c>
      <c r="I613" s="2">
        <v>1.5900000329999999</v>
      </c>
      <c r="J613" s="2">
        <v>0.86000001400000003</v>
      </c>
      <c r="K613" s="2">
        <v>2.039999962</v>
      </c>
      <c r="L613" s="2">
        <v>0</v>
      </c>
      <c r="M613" s="2">
        <v>24</v>
      </c>
      <c r="N613" s="2">
        <v>14</v>
      </c>
      <c r="O613" s="2">
        <v>185</v>
      </c>
      <c r="P613" s="2">
        <v>1217</v>
      </c>
      <c r="Q613" s="2">
        <f t="shared" si="47"/>
        <v>223</v>
      </c>
      <c r="R613" s="2">
        <f t="shared" si="45"/>
        <v>1440</v>
      </c>
      <c r="S613" t="str">
        <f t="shared" si="49"/>
        <v>Lightly Active</v>
      </c>
      <c r="T613" s="2">
        <v>1876</v>
      </c>
    </row>
    <row r="614" spans="1:20" x14ac:dyDescent="0.25">
      <c r="A614" s="2">
        <v>4558609924</v>
      </c>
      <c r="B614" s="3">
        <v>42466</v>
      </c>
      <c r="C614" t="str">
        <f t="shared" si="46"/>
        <v>Wednesday</v>
      </c>
      <c r="D614" t="str">
        <f t="shared" si="48"/>
        <v>Weekday</v>
      </c>
      <c r="E614" s="2">
        <v>5668</v>
      </c>
      <c r="F614" s="2">
        <v>3.75</v>
      </c>
      <c r="G614" s="2">
        <v>3.75</v>
      </c>
      <c r="H614" s="2">
        <v>0</v>
      </c>
      <c r="I614" s="2">
        <v>0</v>
      </c>
      <c r="J614" s="2">
        <v>0</v>
      </c>
      <c r="K614" s="2">
        <v>3.75</v>
      </c>
      <c r="L614" s="2">
        <v>0</v>
      </c>
      <c r="M614" s="2">
        <v>0</v>
      </c>
      <c r="N614" s="2">
        <v>0</v>
      </c>
      <c r="O614" s="2">
        <v>259</v>
      </c>
      <c r="P614" s="2">
        <v>1181</v>
      </c>
      <c r="Q614" s="2">
        <f t="shared" si="47"/>
        <v>259</v>
      </c>
      <c r="R614" s="2">
        <f t="shared" ref="R614:R677" si="50">SUM(M614:P614)</f>
        <v>1440</v>
      </c>
      <c r="S614" t="str">
        <f t="shared" si="49"/>
        <v>Lightly Active</v>
      </c>
      <c r="T614" s="2">
        <v>1853</v>
      </c>
    </row>
    <row r="615" spans="1:20" x14ac:dyDescent="0.25">
      <c r="A615" s="2">
        <v>4558609924</v>
      </c>
      <c r="B615" s="3">
        <v>42467</v>
      </c>
      <c r="C615" t="str">
        <f t="shared" si="46"/>
        <v>Thursday</v>
      </c>
      <c r="D615" t="str">
        <f t="shared" si="48"/>
        <v>Weekday</v>
      </c>
      <c r="E615" s="2">
        <v>7998</v>
      </c>
      <c r="F615" s="2">
        <v>5.2899999619999996</v>
      </c>
      <c r="G615" s="2">
        <v>5.2899999619999996</v>
      </c>
      <c r="H615" s="2">
        <v>0</v>
      </c>
      <c r="I615" s="2">
        <v>0.50999998999999996</v>
      </c>
      <c r="J615" s="2">
        <v>0.25</v>
      </c>
      <c r="K615" s="2">
        <v>4.5300002099999999</v>
      </c>
      <c r="L615" s="2">
        <v>0</v>
      </c>
      <c r="M615" s="2">
        <v>27</v>
      </c>
      <c r="N615" s="2">
        <v>12</v>
      </c>
      <c r="O615" s="2">
        <v>296</v>
      </c>
      <c r="P615" s="2">
        <v>1105</v>
      </c>
      <c r="Q615" s="2">
        <f t="shared" si="47"/>
        <v>335</v>
      </c>
      <c r="R615" s="2">
        <f t="shared" si="50"/>
        <v>1440</v>
      </c>
      <c r="S615" t="str">
        <f t="shared" si="49"/>
        <v>Fairly Active</v>
      </c>
      <c r="T615" s="2">
        <v>2235</v>
      </c>
    </row>
    <row r="616" spans="1:20" x14ac:dyDescent="0.25">
      <c r="A616" s="2">
        <v>4558609924</v>
      </c>
      <c r="B616" s="3">
        <v>42468</v>
      </c>
      <c r="C616" t="str">
        <f t="shared" si="46"/>
        <v>Friday</v>
      </c>
      <c r="D616" t="str">
        <f t="shared" si="48"/>
        <v>Weekday</v>
      </c>
      <c r="E616" s="2">
        <v>4195</v>
      </c>
      <c r="F616" s="2">
        <v>2.7699999809999998</v>
      </c>
      <c r="G616" s="2">
        <v>2.7699999809999998</v>
      </c>
      <c r="H616" s="2">
        <v>0</v>
      </c>
      <c r="I616" s="2">
        <v>0</v>
      </c>
      <c r="J616" s="2">
        <v>0</v>
      </c>
      <c r="K616" s="2">
        <v>2.7699999809999998</v>
      </c>
      <c r="L616" s="2">
        <v>0</v>
      </c>
      <c r="M616" s="2">
        <v>0</v>
      </c>
      <c r="N616" s="2">
        <v>0</v>
      </c>
      <c r="O616" s="2">
        <v>241</v>
      </c>
      <c r="P616" s="2">
        <v>1199</v>
      </c>
      <c r="Q616" s="2">
        <f t="shared" si="47"/>
        <v>241</v>
      </c>
      <c r="R616" s="2">
        <f t="shared" si="50"/>
        <v>1440</v>
      </c>
      <c r="S616" t="str">
        <f t="shared" si="49"/>
        <v>Sedentary</v>
      </c>
      <c r="T616" s="2">
        <v>1778</v>
      </c>
    </row>
    <row r="617" spans="1:20" x14ac:dyDescent="0.25">
      <c r="A617" s="2">
        <v>4558609924</v>
      </c>
      <c r="B617" s="3">
        <v>42469</v>
      </c>
      <c r="C617" t="str">
        <f t="shared" si="46"/>
        <v>Saturday</v>
      </c>
      <c r="D617" t="str">
        <f t="shared" si="48"/>
        <v>Weekend</v>
      </c>
      <c r="E617" s="2">
        <v>5512</v>
      </c>
      <c r="F617" s="2">
        <v>3.6400001049999999</v>
      </c>
      <c r="G617" s="2">
        <v>3.6400001049999999</v>
      </c>
      <c r="H617" s="2">
        <v>0</v>
      </c>
      <c r="I617" s="2">
        <v>0</v>
      </c>
      <c r="J617" s="2">
        <v>0</v>
      </c>
      <c r="K617" s="2">
        <v>3.6400001049999999</v>
      </c>
      <c r="L617" s="2">
        <v>0</v>
      </c>
      <c r="M617" s="2">
        <v>0</v>
      </c>
      <c r="N617" s="2">
        <v>0</v>
      </c>
      <c r="O617" s="2">
        <v>276</v>
      </c>
      <c r="P617" s="2">
        <v>1164</v>
      </c>
      <c r="Q617" s="2">
        <f t="shared" si="47"/>
        <v>276</v>
      </c>
      <c r="R617" s="2">
        <f t="shared" si="50"/>
        <v>1440</v>
      </c>
      <c r="S617" t="str">
        <f t="shared" si="49"/>
        <v>Lightly Active</v>
      </c>
      <c r="T617" s="2">
        <v>1882</v>
      </c>
    </row>
    <row r="618" spans="1:20" x14ac:dyDescent="0.25">
      <c r="A618" s="2">
        <v>4558609924</v>
      </c>
      <c r="B618" s="3">
        <v>42470</v>
      </c>
      <c r="C618" t="str">
        <f t="shared" si="46"/>
        <v>Sunday</v>
      </c>
      <c r="D618" t="str">
        <f t="shared" si="48"/>
        <v>Weekend</v>
      </c>
      <c r="E618" s="2">
        <v>6263</v>
      </c>
      <c r="F618" s="2">
        <v>4.1399998660000001</v>
      </c>
      <c r="G618" s="2">
        <v>4.1399998660000001</v>
      </c>
      <c r="H618" s="2">
        <v>0</v>
      </c>
      <c r="I618" s="2">
        <v>0</v>
      </c>
      <c r="J618" s="2">
        <v>0</v>
      </c>
      <c r="K618" s="2">
        <v>4.1300001139999996</v>
      </c>
      <c r="L618" s="2">
        <v>0</v>
      </c>
      <c r="M618" s="2">
        <v>0</v>
      </c>
      <c r="N618" s="2">
        <v>0</v>
      </c>
      <c r="O618" s="2">
        <v>290</v>
      </c>
      <c r="P618" s="2">
        <v>1150</v>
      </c>
      <c r="Q618" s="2">
        <f t="shared" si="47"/>
        <v>290</v>
      </c>
      <c r="R618" s="2">
        <f t="shared" si="50"/>
        <v>1440</v>
      </c>
      <c r="S618" t="str">
        <f t="shared" si="49"/>
        <v>Lightly Active</v>
      </c>
      <c r="T618" s="2">
        <v>1906</v>
      </c>
    </row>
    <row r="619" spans="1:20" x14ac:dyDescent="0.25">
      <c r="A619" s="2">
        <v>4558609924</v>
      </c>
      <c r="B619" s="3">
        <v>42471</v>
      </c>
      <c r="C619" t="str">
        <f t="shared" ref="C619:C682" si="51">CHOOSE(WEEKDAY(B619), "Sunday", "Monday", "Tuesday", "Wednesday", "Thursday", "Friday", "Saturday")</f>
        <v>Monday</v>
      </c>
      <c r="D619" t="str">
        <f t="shared" si="48"/>
        <v>Weekday</v>
      </c>
      <c r="E619" s="2">
        <v>8828</v>
      </c>
      <c r="F619" s="2">
        <v>5.8400001530000001</v>
      </c>
      <c r="G619" s="2">
        <v>5.8400001530000001</v>
      </c>
      <c r="H619" s="2">
        <v>0</v>
      </c>
      <c r="I619" s="2">
        <v>0</v>
      </c>
      <c r="J619" s="2">
        <v>0</v>
      </c>
      <c r="K619" s="2">
        <v>5.8400001530000001</v>
      </c>
      <c r="L619" s="2">
        <v>0</v>
      </c>
      <c r="M619" s="2">
        <v>0</v>
      </c>
      <c r="N619" s="2">
        <v>0</v>
      </c>
      <c r="O619" s="2">
        <v>308</v>
      </c>
      <c r="P619" s="2">
        <v>1132</v>
      </c>
      <c r="Q619" s="2">
        <f t="shared" ref="Q619:Q682" si="52">SUM(M619:O619)</f>
        <v>308</v>
      </c>
      <c r="R619" s="2">
        <f t="shared" si="50"/>
        <v>1440</v>
      </c>
      <c r="S619" t="str">
        <f t="shared" si="49"/>
        <v>Fairly Active</v>
      </c>
      <c r="T619" s="2">
        <v>2149</v>
      </c>
    </row>
    <row r="620" spans="1:20" x14ac:dyDescent="0.25">
      <c r="A620" s="2">
        <v>4558609924</v>
      </c>
      <c r="B620" s="3">
        <v>42472</v>
      </c>
      <c r="C620" t="str">
        <f t="shared" si="51"/>
        <v>Tuesday</v>
      </c>
      <c r="D620" t="str">
        <f t="shared" si="48"/>
        <v>Weekday</v>
      </c>
      <c r="E620" s="2">
        <v>1260</v>
      </c>
      <c r="F620" s="2">
        <v>0.829999983</v>
      </c>
      <c r="G620" s="2">
        <v>0.829999983</v>
      </c>
      <c r="H620" s="2">
        <v>0</v>
      </c>
      <c r="I620" s="2">
        <v>0</v>
      </c>
      <c r="J620" s="2">
        <v>0</v>
      </c>
      <c r="K620" s="2">
        <v>0.81999999300000004</v>
      </c>
      <c r="L620" s="2">
        <v>0</v>
      </c>
      <c r="M620" s="2">
        <v>0</v>
      </c>
      <c r="N620" s="2">
        <v>0</v>
      </c>
      <c r="O620" s="2">
        <v>76</v>
      </c>
      <c r="P620" s="2">
        <v>555</v>
      </c>
      <c r="Q620" s="2">
        <f t="shared" si="52"/>
        <v>76</v>
      </c>
      <c r="R620" s="2">
        <f t="shared" si="50"/>
        <v>631</v>
      </c>
      <c r="S620" t="str">
        <f t="shared" si="49"/>
        <v>Sedentary</v>
      </c>
      <c r="T620" s="2">
        <v>722</v>
      </c>
    </row>
    <row r="621" spans="1:20" x14ac:dyDescent="0.25">
      <c r="A621" s="2">
        <v>4558609924</v>
      </c>
      <c r="B621" s="3">
        <v>42473</v>
      </c>
      <c r="C621" t="str">
        <f t="shared" si="51"/>
        <v>Wednesday</v>
      </c>
      <c r="D621" t="str">
        <f t="shared" si="48"/>
        <v>Weekday</v>
      </c>
      <c r="E621" s="2">
        <v>4978</v>
      </c>
      <c r="F621" s="2">
        <v>3.289999962</v>
      </c>
      <c r="G621" s="2">
        <v>3.289999962</v>
      </c>
      <c r="H621" s="2">
        <v>0</v>
      </c>
      <c r="I621" s="2">
        <v>1.2400000099999999</v>
      </c>
      <c r="J621" s="2">
        <v>0.439999998</v>
      </c>
      <c r="K621" s="2">
        <v>1.6100000139999999</v>
      </c>
      <c r="L621" s="2">
        <v>0</v>
      </c>
      <c r="M621" s="2">
        <v>19</v>
      </c>
      <c r="N621" s="2">
        <v>7</v>
      </c>
      <c r="O621" s="2">
        <v>127</v>
      </c>
      <c r="P621" s="2">
        <v>1287</v>
      </c>
      <c r="Q621" s="2">
        <f t="shared" si="52"/>
        <v>153</v>
      </c>
      <c r="R621" s="2">
        <f t="shared" si="50"/>
        <v>1440</v>
      </c>
      <c r="S621" t="str">
        <f t="shared" si="49"/>
        <v>Sedentary</v>
      </c>
      <c r="T621" s="2">
        <v>1722</v>
      </c>
    </row>
    <row r="622" spans="1:20" x14ac:dyDescent="0.25">
      <c r="A622" s="2">
        <v>4558609924</v>
      </c>
      <c r="B622" s="3">
        <v>42474</v>
      </c>
      <c r="C622" t="str">
        <f t="shared" si="51"/>
        <v>Thursday</v>
      </c>
      <c r="D622" t="str">
        <f t="shared" si="48"/>
        <v>Weekday</v>
      </c>
      <c r="E622" s="2">
        <v>6799</v>
      </c>
      <c r="F622" s="2">
        <v>4.4899997709999999</v>
      </c>
      <c r="G622" s="2">
        <v>4.4899997709999999</v>
      </c>
      <c r="H622" s="2">
        <v>0</v>
      </c>
      <c r="I622" s="2">
        <v>0</v>
      </c>
      <c r="J622" s="2">
        <v>0</v>
      </c>
      <c r="K622" s="2">
        <v>4.4899997709999999</v>
      </c>
      <c r="L622" s="2">
        <v>0</v>
      </c>
      <c r="M622" s="2">
        <v>0</v>
      </c>
      <c r="N622" s="2">
        <v>0</v>
      </c>
      <c r="O622" s="2">
        <v>279</v>
      </c>
      <c r="P622" s="2">
        <v>1161</v>
      </c>
      <c r="Q622" s="2">
        <f t="shared" si="52"/>
        <v>279</v>
      </c>
      <c r="R622" s="2">
        <f t="shared" si="50"/>
        <v>1440</v>
      </c>
      <c r="S622" t="str">
        <f t="shared" si="49"/>
        <v>Lightly Active</v>
      </c>
      <c r="T622" s="2">
        <v>1922</v>
      </c>
    </row>
    <row r="623" spans="1:20" x14ac:dyDescent="0.25">
      <c r="A623" s="2">
        <v>4558609924</v>
      </c>
      <c r="B623" s="3">
        <v>42475</v>
      </c>
      <c r="C623" t="str">
        <f t="shared" si="51"/>
        <v>Friday</v>
      </c>
      <c r="D623" t="str">
        <f t="shared" si="48"/>
        <v>Weekday</v>
      </c>
      <c r="E623" s="2">
        <v>7795</v>
      </c>
      <c r="F623" s="2">
        <v>5.1500000950000002</v>
      </c>
      <c r="G623" s="2">
        <v>5.1500000950000002</v>
      </c>
      <c r="H623" s="2">
        <v>0</v>
      </c>
      <c r="I623" s="2">
        <v>0.58999997400000004</v>
      </c>
      <c r="J623" s="2">
        <v>0.83999997400000004</v>
      </c>
      <c r="K623" s="2">
        <v>3.7300000190000002</v>
      </c>
      <c r="L623" s="2">
        <v>0</v>
      </c>
      <c r="M623" s="2">
        <v>17</v>
      </c>
      <c r="N623" s="2">
        <v>30</v>
      </c>
      <c r="O623" s="2">
        <v>262</v>
      </c>
      <c r="P623" s="2">
        <v>1131</v>
      </c>
      <c r="Q623" s="2">
        <f t="shared" si="52"/>
        <v>309</v>
      </c>
      <c r="R623" s="2">
        <f t="shared" si="50"/>
        <v>1440</v>
      </c>
      <c r="S623" t="str">
        <f t="shared" si="49"/>
        <v>Fairly Active</v>
      </c>
      <c r="T623" s="2">
        <v>2121</v>
      </c>
    </row>
    <row r="624" spans="1:20" x14ac:dyDescent="0.25">
      <c r="A624" s="2">
        <v>4558609924</v>
      </c>
      <c r="B624" s="3">
        <v>42476</v>
      </c>
      <c r="C624" t="str">
        <f t="shared" si="51"/>
        <v>Saturday</v>
      </c>
      <c r="D624" t="str">
        <f t="shared" si="48"/>
        <v>Weekend</v>
      </c>
      <c r="E624" s="2">
        <v>7289</v>
      </c>
      <c r="F624" s="2">
        <v>4.8200001720000003</v>
      </c>
      <c r="G624" s="2">
        <v>4.8200001720000003</v>
      </c>
      <c r="H624" s="2">
        <v>0</v>
      </c>
      <c r="I624" s="2">
        <v>0.55000001200000004</v>
      </c>
      <c r="J624" s="2">
        <v>0.75</v>
      </c>
      <c r="K624" s="2">
        <v>3.5</v>
      </c>
      <c r="L624" s="2">
        <v>0</v>
      </c>
      <c r="M624" s="2">
        <v>8</v>
      </c>
      <c r="N624" s="2">
        <v>12</v>
      </c>
      <c r="O624" s="2">
        <v>308</v>
      </c>
      <c r="P624" s="2">
        <v>1112</v>
      </c>
      <c r="Q624" s="2">
        <f t="shared" si="52"/>
        <v>328</v>
      </c>
      <c r="R624" s="2">
        <f t="shared" si="50"/>
        <v>1440</v>
      </c>
      <c r="S624" t="str">
        <f t="shared" si="49"/>
        <v>Lightly Active</v>
      </c>
      <c r="T624" s="2">
        <v>1997</v>
      </c>
    </row>
    <row r="625" spans="1:20" x14ac:dyDescent="0.25">
      <c r="A625" s="2">
        <v>4558609924</v>
      </c>
      <c r="B625" s="3">
        <v>42477</v>
      </c>
      <c r="C625" t="str">
        <f t="shared" si="51"/>
        <v>Sunday</v>
      </c>
      <c r="D625" t="str">
        <f t="shared" si="48"/>
        <v>Weekend</v>
      </c>
      <c r="E625" s="2">
        <v>9634</v>
      </c>
      <c r="F625" s="2">
        <v>6.4000000950000002</v>
      </c>
      <c r="G625" s="2">
        <v>6.4000000950000002</v>
      </c>
      <c r="H625" s="2">
        <v>0</v>
      </c>
      <c r="I625" s="2">
        <v>0.55000001200000004</v>
      </c>
      <c r="J625" s="2">
        <v>1.1399999860000001</v>
      </c>
      <c r="K625" s="2">
        <v>4.7100000380000004</v>
      </c>
      <c r="L625" s="2">
        <v>0</v>
      </c>
      <c r="M625" s="2">
        <v>7</v>
      </c>
      <c r="N625" s="2">
        <v>19</v>
      </c>
      <c r="O625" s="2">
        <v>304</v>
      </c>
      <c r="P625" s="2">
        <v>1110</v>
      </c>
      <c r="Q625" s="2">
        <f t="shared" si="52"/>
        <v>330</v>
      </c>
      <c r="R625" s="2">
        <f t="shared" si="50"/>
        <v>1440</v>
      </c>
      <c r="S625" t="str">
        <f t="shared" si="49"/>
        <v>Fairly Active</v>
      </c>
      <c r="T625" s="2">
        <v>2117</v>
      </c>
    </row>
    <row r="626" spans="1:20" x14ac:dyDescent="0.25">
      <c r="A626" s="2">
        <v>4558609924</v>
      </c>
      <c r="B626" s="3">
        <v>42478</v>
      </c>
      <c r="C626" t="str">
        <f t="shared" si="51"/>
        <v>Monday</v>
      </c>
      <c r="D626" t="str">
        <f t="shared" si="48"/>
        <v>Weekday</v>
      </c>
      <c r="E626" s="2">
        <v>8940</v>
      </c>
      <c r="F626" s="2">
        <v>5.9099998469999999</v>
      </c>
      <c r="G626" s="2">
        <v>5.9099998469999999</v>
      </c>
      <c r="H626" s="2">
        <v>0</v>
      </c>
      <c r="I626" s="2">
        <v>0.980000019</v>
      </c>
      <c r="J626" s="2">
        <v>0.93000000699999996</v>
      </c>
      <c r="K626" s="2">
        <v>4</v>
      </c>
      <c r="L626" s="2">
        <v>0</v>
      </c>
      <c r="M626" s="2">
        <v>14</v>
      </c>
      <c r="N626" s="2">
        <v>15</v>
      </c>
      <c r="O626" s="2">
        <v>331</v>
      </c>
      <c r="P626" s="2">
        <v>1080</v>
      </c>
      <c r="Q626" s="2">
        <f t="shared" si="52"/>
        <v>360</v>
      </c>
      <c r="R626" s="2">
        <f t="shared" si="50"/>
        <v>1440</v>
      </c>
      <c r="S626" t="str">
        <f t="shared" si="49"/>
        <v>Fairly Active</v>
      </c>
      <c r="T626" s="2">
        <v>2116</v>
      </c>
    </row>
    <row r="627" spans="1:20" x14ac:dyDescent="0.25">
      <c r="A627" s="2">
        <v>4558609924</v>
      </c>
      <c r="B627" s="3">
        <v>42479</v>
      </c>
      <c r="C627" t="str">
        <f t="shared" si="51"/>
        <v>Tuesday</v>
      </c>
      <c r="D627" t="str">
        <f t="shared" si="48"/>
        <v>Weekday</v>
      </c>
      <c r="E627" s="2">
        <v>5401</v>
      </c>
      <c r="F627" s="2">
        <v>3.5699999330000001</v>
      </c>
      <c r="G627" s="2">
        <v>3.5699999330000001</v>
      </c>
      <c r="H627" s="2">
        <v>0</v>
      </c>
      <c r="I627" s="2">
        <v>5.0000001000000002E-2</v>
      </c>
      <c r="J627" s="2">
        <v>0.36000001399999998</v>
      </c>
      <c r="K627" s="2">
        <v>3.1600000860000002</v>
      </c>
      <c r="L627" s="2">
        <v>0</v>
      </c>
      <c r="M627" s="2">
        <v>1</v>
      </c>
      <c r="N627" s="2">
        <v>9</v>
      </c>
      <c r="O627" s="2">
        <v>248</v>
      </c>
      <c r="P627" s="2">
        <v>1182</v>
      </c>
      <c r="Q627" s="2">
        <f t="shared" si="52"/>
        <v>258</v>
      </c>
      <c r="R627" s="2">
        <f t="shared" si="50"/>
        <v>1440</v>
      </c>
      <c r="S627" t="str">
        <f t="shared" si="49"/>
        <v>Lightly Active</v>
      </c>
      <c r="T627" s="2">
        <v>1876</v>
      </c>
    </row>
    <row r="628" spans="1:20" x14ac:dyDescent="0.25">
      <c r="A628" s="2">
        <v>4558609924</v>
      </c>
      <c r="B628" s="3">
        <v>42480</v>
      </c>
      <c r="C628" t="str">
        <f t="shared" si="51"/>
        <v>Wednesday</v>
      </c>
      <c r="D628" t="str">
        <f t="shared" si="48"/>
        <v>Weekday</v>
      </c>
      <c r="E628" s="2">
        <v>4803</v>
      </c>
      <c r="F628" s="2">
        <v>3.170000076</v>
      </c>
      <c r="G628" s="2">
        <v>3.170000076</v>
      </c>
      <c r="H628" s="2">
        <v>0</v>
      </c>
      <c r="I628" s="2">
        <v>0</v>
      </c>
      <c r="J628" s="2">
        <v>0</v>
      </c>
      <c r="K628" s="2">
        <v>3.170000076</v>
      </c>
      <c r="L628" s="2">
        <v>0</v>
      </c>
      <c r="M628" s="2">
        <v>0</v>
      </c>
      <c r="N628" s="2">
        <v>0</v>
      </c>
      <c r="O628" s="2">
        <v>222</v>
      </c>
      <c r="P628" s="2">
        <v>1218</v>
      </c>
      <c r="Q628" s="2">
        <f t="shared" si="52"/>
        <v>222</v>
      </c>
      <c r="R628" s="2">
        <f t="shared" si="50"/>
        <v>1440</v>
      </c>
      <c r="S628" t="str">
        <f t="shared" si="49"/>
        <v>Sedentary</v>
      </c>
      <c r="T628" s="2">
        <v>1788</v>
      </c>
    </row>
    <row r="629" spans="1:20" x14ac:dyDescent="0.25">
      <c r="A629" s="2">
        <v>4558609924</v>
      </c>
      <c r="B629" s="3">
        <v>42481</v>
      </c>
      <c r="C629" t="str">
        <f t="shared" si="51"/>
        <v>Thursday</v>
      </c>
      <c r="D629" t="str">
        <f t="shared" si="48"/>
        <v>Weekday</v>
      </c>
      <c r="E629" s="2">
        <v>13743</v>
      </c>
      <c r="F629" s="2">
        <v>9.0799999239999991</v>
      </c>
      <c r="G629" s="2">
        <v>9.0799999239999991</v>
      </c>
      <c r="H629" s="2">
        <v>0</v>
      </c>
      <c r="I629" s="2">
        <v>0.41999998700000002</v>
      </c>
      <c r="J629" s="2">
        <v>0.97000002900000004</v>
      </c>
      <c r="K629" s="2">
        <v>7.6999998090000004</v>
      </c>
      <c r="L629" s="2">
        <v>0</v>
      </c>
      <c r="M629" s="2">
        <v>6</v>
      </c>
      <c r="N629" s="2">
        <v>21</v>
      </c>
      <c r="O629" s="2">
        <v>432</v>
      </c>
      <c r="P629" s="2">
        <v>844</v>
      </c>
      <c r="Q629" s="2">
        <f t="shared" si="52"/>
        <v>459</v>
      </c>
      <c r="R629" s="2">
        <f t="shared" si="50"/>
        <v>1303</v>
      </c>
      <c r="S629" t="str">
        <f t="shared" si="49"/>
        <v>Highly Active</v>
      </c>
      <c r="T629" s="2">
        <v>2486</v>
      </c>
    </row>
    <row r="630" spans="1:20" x14ac:dyDescent="0.25">
      <c r="A630" s="2">
        <v>4558609924</v>
      </c>
      <c r="B630" s="3">
        <v>42482</v>
      </c>
      <c r="C630" t="str">
        <f t="shared" si="51"/>
        <v>Friday</v>
      </c>
      <c r="D630" t="str">
        <f t="shared" si="48"/>
        <v>Weekday</v>
      </c>
      <c r="E630" s="2">
        <v>9601</v>
      </c>
      <c r="F630" s="2">
        <v>6.3499999049999998</v>
      </c>
      <c r="G630" s="2">
        <v>6.3499999049999998</v>
      </c>
      <c r="H630" s="2">
        <v>0</v>
      </c>
      <c r="I630" s="2">
        <v>1.3700000050000001</v>
      </c>
      <c r="J630" s="2">
        <v>1.5</v>
      </c>
      <c r="K630" s="2">
        <v>3.4700000289999999</v>
      </c>
      <c r="L630" s="2">
        <v>0</v>
      </c>
      <c r="M630" s="2">
        <v>20</v>
      </c>
      <c r="N630" s="2">
        <v>25</v>
      </c>
      <c r="O630" s="2">
        <v>273</v>
      </c>
      <c r="P630" s="2">
        <v>1122</v>
      </c>
      <c r="Q630" s="2">
        <f t="shared" si="52"/>
        <v>318</v>
      </c>
      <c r="R630" s="2">
        <f t="shared" si="50"/>
        <v>1440</v>
      </c>
      <c r="S630" t="str">
        <f t="shared" si="49"/>
        <v>Fairly Active</v>
      </c>
      <c r="T630" s="2">
        <v>2094</v>
      </c>
    </row>
    <row r="631" spans="1:20" x14ac:dyDescent="0.25">
      <c r="A631" s="2">
        <v>4558609924</v>
      </c>
      <c r="B631" s="3">
        <v>42483</v>
      </c>
      <c r="C631" t="str">
        <f t="shared" si="51"/>
        <v>Saturday</v>
      </c>
      <c r="D631" t="str">
        <f t="shared" si="48"/>
        <v>Weekend</v>
      </c>
      <c r="E631" s="2">
        <v>6890</v>
      </c>
      <c r="F631" s="2">
        <v>4.5500001909999996</v>
      </c>
      <c r="G631" s="2">
        <v>4.5500001909999996</v>
      </c>
      <c r="H631" s="2">
        <v>0</v>
      </c>
      <c r="I631" s="2">
        <v>0.34000000400000002</v>
      </c>
      <c r="J631" s="2">
        <v>0.20000000300000001</v>
      </c>
      <c r="K631" s="2">
        <v>4.0100002290000001</v>
      </c>
      <c r="L631" s="2">
        <v>0</v>
      </c>
      <c r="M631" s="2">
        <v>5</v>
      </c>
      <c r="N631" s="2">
        <v>5</v>
      </c>
      <c r="O631" s="2">
        <v>308</v>
      </c>
      <c r="P631" s="2">
        <v>1122</v>
      </c>
      <c r="Q631" s="2">
        <f t="shared" si="52"/>
        <v>318</v>
      </c>
      <c r="R631" s="2">
        <f t="shared" si="50"/>
        <v>1440</v>
      </c>
      <c r="S631" t="str">
        <f t="shared" si="49"/>
        <v>Lightly Active</v>
      </c>
      <c r="T631" s="2">
        <v>2085</v>
      </c>
    </row>
    <row r="632" spans="1:20" x14ac:dyDescent="0.25">
      <c r="A632" s="2">
        <v>4558609924</v>
      </c>
      <c r="B632" s="3">
        <v>42484</v>
      </c>
      <c r="C632" t="str">
        <f t="shared" si="51"/>
        <v>Sunday</v>
      </c>
      <c r="D632" t="str">
        <f t="shared" si="48"/>
        <v>Weekend</v>
      </c>
      <c r="E632" s="2">
        <v>8563</v>
      </c>
      <c r="F632" s="2">
        <v>5.6599998469999999</v>
      </c>
      <c r="G632" s="2">
        <v>5.6599998469999999</v>
      </c>
      <c r="H632" s="2">
        <v>0</v>
      </c>
      <c r="I632" s="2">
        <v>0</v>
      </c>
      <c r="J632" s="2">
        <v>0</v>
      </c>
      <c r="K632" s="2">
        <v>5.6500000950000002</v>
      </c>
      <c r="L632" s="2">
        <v>0</v>
      </c>
      <c r="M632" s="2">
        <v>0</v>
      </c>
      <c r="N632" s="2">
        <v>0</v>
      </c>
      <c r="O632" s="2">
        <v>395</v>
      </c>
      <c r="P632" s="2">
        <v>1045</v>
      </c>
      <c r="Q632" s="2">
        <f t="shared" si="52"/>
        <v>395</v>
      </c>
      <c r="R632" s="2">
        <f t="shared" si="50"/>
        <v>1440</v>
      </c>
      <c r="S632" t="str">
        <f t="shared" si="49"/>
        <v>Fairly Active</v>
      </c>
      <c r="T632" s="2">
        <v>2173</v>
      </c>
    </row>
    <row r="633" spans="1:20" x14ac:dyDescent="0.25">
      <c r="A633" s="2">
        <v>4558609924</v>
      </c>
      <c r="B633" s="3">
        <v>42485</v>
      </c>
      <c r="C633" t="str">
        <f t="shared" si="51"/>
        <v>Monday</v>
      </c>
      <c r="D633" t="str">
        <f t="shared" si="48"/>
        <v>Weekday</v>
      </c>
      <c r="E633" s="2">
        <v>8095</v>
      </c>
      <c r="F633" s="2">
        <v>5.3499999049999998</v>
      </c>
      <c r="G633" s="2">
        <v>5.3499999049999998</v>
      </c>
      <c r="H633" s="2">
        <v>0</v>
      </c>
      <c r="I633" s="2">
        <v>0.58999997400000004</v>
      </c>
      <c r="J633" s="2">
        <v>0.25</v>
      </c>
      <c r="K633" s="2">
        <v>4.5100002290000001</v>
      </c>
      <c r="L633" s="2">
        <v>0</v>
      </c>
      <c r="M633" s="2">
        <v>18</v>
      </c>
      <c r="N633" s="2">
        <v>10</v>
      </c>
      <c r="O633" s="2">
        <v>340</v>
      </c>
      <c r="P633" s="2">
        <v>993</v>
      </c>
      <c r="Q633" s="2">
        <f t="shared" si="52"/>
        <v>368</v>
      </c>
      <c r="R633" s="2">
        <f t="shared" si="50"/>
        <v>1361</v>
      </c>
      <c r="S633" t="str">
        <f t="shared" si="49"/>
        <v>Fairly Active</v>
      </c>
      <c r="T633" s="2">
        <v>2225</v>
      </c>
    </row>
    <row r="634" spans="1:20" x14ac:dyDescent="0.25">
      <c r="A634" s="2">
        <v>4558609924</v>
      </c>
      <c r="B634" s="3">
        <v>42486</v>
      </c>
      <c r="C634" t="str">
        <f t="shared" si="51"/>
        <v>Tuesday</v>
      </c>
      <c r="D634" t="str">
        <f t="shared" si="48"/>
        <v>Weekday</v>
      </c>
      <c r="E634" s="2">
        <v>9148</v>
      </c>
      <c r="F634" s="2">
        <v>6.0500001909999996</v>
      </c>
      <c r="G634" s="2">
        <v>6.0500001909999996</v>
      </c>
      <c r="H634" s="2">
        <v>0</v>
      </c>
      <c r="I634" s="2">
        <v>0.43000000700000002</v>
      </c>
      <c r="J634" s="2">
        <v>2.0299999710000001</v>
      </c>
      <c r="K634" s="2">
        <v>3.5899999139999998</v>
      </c>
      <c r="L634" s="2">
        <v>0</v>
      </c>
      <c r="M634" s="2">
        <v>12</v>
      </c>
      <c r="N634" s="2">
        <v>41</v>
      </c>
      <c r="O634" s="2">
        <v>283</v>
      </c>
      <c r="P634" s="2">
        <v>1062</v>
      </c>
      <c r="Q634" s="2">
        <f t="shared" si="52"/>
        <v>336</v>
      </c>
      <c r="R634" s="2">
        <f t="shared" si="50"/>
        <v>1398</v>
      </c>
      <c r="S634" t="str">
        <f t="shared" si="49"/>
        <v>Fairly Active</v>
      </c>
      <c r="T634" s="2">
        <v>2223</v>
      </c>
    </row>
    <row r="635" spans="1:20" x14ac:dyDescent="0.25">
      <c r="A635" s="2">
        <v>4558609924</v>
      </c>
      <c r="B635" s="3">
        <v>42487</v>
      </c>
      <c r="C635" t="str">
        <f t="shared" si="51"/>
        <v>Wednesday</v>
      </c>
      <c r="D635" t="str">
        <f t="shared" si="48"/>
        <v>Weekday</v>
      </c>
      <c r="E635" s="2">
        <v>9557</v>
      </c>
      <c r="F635" s="2">
        <v>6.3200001720000003</v>
      </c>
      <c r="G635" s="2">
        <v>6.3200001720000003</v>
      </c>
      <c r="H635" s="2">
        <v>0</v>
      </c>
      <c r="I635" s="2">
        <v>1.960000038</v>
      </c>
      <c r="J635" s="2">
        <v>0.88999998599999997</v>
      </c>
      <c r="K635" s="2">
        <v>3.460000038</v>
      </c>
      <c r="L635" s="2">
        <v>0</v>
      </c>
      <c r="M635" s="2">
        <v>27</v>
      </c>
      <c r="N635" s="2">
        <v>14</v>
      </c>
      <c r="O635" s="2">
        <v>312</v>
      </c>
      <c r="P635" s="2">
        <v>1087</v>
      </c>
      <c r="Q635" s="2">
        <f t="shared" si="52"/>
        <v>353</v>
      </c>
      <c r="R635" s="2">
        <f t="shared" si="50"/>
        <v>1440</v>
      </c>
      <c r="S635" t="str">
        <f t="shared" si="49"/>
        <v>Fairly Active</v>
      </c>
      <c r="T635" s="2">
        <v>2098</v>
      </c>
    </row>
    <row r="636" spans="1:20" x14ac:dyDescent="0.25">
      <c r="A636" s="2">
        <v>4558609924</v>
      </c>
      <c r="B636" s="3">
        <v>42488</v>
      </c>
      <c r="C636" t="str">
        <f t="shared" si="51"/>
        <v>Thursday</v>
      </c>
      <c r="D636" t="str">
        <f t="shared" si="48"/>
        <v>Weekday</v>
      </c>
      <c r="E636" s="2">
        <v>9451</v>
      </c>
      <c r="F636" s="2">
        <v>6.25</v>
      </c>
      <c r="G636" s="2">
        <v>6.25</v>
      </c>
      <c r="H636" s="2">
        <v>0</v>
      </c>
      <c r="I636" s="2">
        <v>0.02</v>
      </c>
      <c r="J636" s="2">
        <v>0.27000001099999998</v>
      </c>
      <c r="K636" s="2">
        <v>5.9499998090000004</v>
      </c>
      <c r="L636" s="2">
        <v>0</v>
      </c>
      <c r="M636" s="2">
        <v>1</v>
      </c>
      <c r="N636" s="2">
        <v>11</v>
      </c>
      <c r="O636" s="2">
        <v>367</v>
      </c>
      <c r="P636" s="2">
        <v>985</v>
      </c>
      <c r="Q636" s="2">
        <f t="shared" si="52"/>
        <v>379</v>
      </c>
      <c r="R636" s="2">
        <f t="shared" si="50"/>
        <v>1364</v>
      </c>
      <c r="S636" t="str">
        <f t="shared" si="49"/>
        <v>Fairly Active</v>
      </c>
      <c r="T636" s="2">
        <v>2185</v>
      </c>
    </row>
    <row r="637" spans="1:20" x14ac:dyDescent="0.25">
      <c r="A637" s="2">
        <v>4558609924</v>
      </c>
      <c r="B637" s="3">
        <v>42489</v>
      </c>
      <c r="C637" t="str">
        <f t="shared" si="51"/>
        <v>Friday</v>
      </c>
      <c r="D637" t="str">
        <f t="shared" si="48"/>
        <v>Weekday</v>
      </c>
      <c r="E637" s="2">
        <v>7833</v>
      </c>
      <c r="F637" s="2">
        <v>5.1799998279999997</v>
      </c>
      <c r="G637" s="2">
        <v>5.1799998279999997</v>
      </c>
      <c r="H637" s="2">
        <v>0</v>
      </c>
      <c r="I637" s="2">
        <v>1.019999981</v>
      </c>
      <c r="J637" s="2">
        <v>1.8500000240000001</v>
      </c>
      <c r="K637" s="2">
        <v>2.3099999430000002</v>
      </c>
      <c r="L637" s="2">
        <v>0</v>
      </c>
      <c r="M637" s="2">
        <v>15</v>
      </c>
      <c r="N637" s="2">
        <v>29</v>
      </c>
      <c r="O637" s="2">
        <v>197</v>
      </c>
      <c r="P637" s="2">
        <v>1096</v>
      </c>
      <c r="Q637" s="2">
        <f t="shared" si="52"/>
        <v>241</v>
      </c>
      <c r="R637" s="2">
        <f t="shared" si="50"/>
        <v>1337</v>
      </c>
      <c r="S637" t="str">
        <f t="shared" si="49"/>
        <v>Fairly Active</v>
      </c>
      <c r="T637" s="2">
        <v>1918</v>
      </c>
    </row>
    <row r="638" spans="1:20" x14ac:dyDescent="0.25">
      <c r="A638" s="2">
        <v>4558609924</v>
      </c>
      <c r="B638" s="3">
        <v>42490</v>
      </c>
      <c r="C638" t="str">
        <f t="shared" si="51"/>
        <v>Saturday</v>
      </c>
      <c r="D638" t="str">
        <f t="shared" si="48"/>
        <v>Weekend</v>
      </c>
      <c r="E638" s="2">
        <v>10319</v>
      </c>
      <c r="F638" s="2">
        <v>6.8200001720000003</v>
      </c>
      <c r="G638" s="2">
        <v>6.8200001720000003</v>
      </c>
      <c r="H638" s="2">
        <v>0</v>
      </c>
      <c r="I638" s="2">
        <v>0.469999999</v>
      </c>
      <c r="J638" s="2">
        <v>1.8899999860000001</v>
      </c>
      <c r="K638" s="2">
        <v>4.4600000380000004</v>
      </c>
      <c r="L638" s="2">
        <v>0</v>
      </c>
      <c r="M638" s="2">
        <v>7</v>
      </c>
      <c r="N638" s="2">
        <v>29</v>
      </c>
      <c r="O638" s="2">
        <v>293</v>
      </c>
      <c r="P638" s="2">
        <v>1111</v>
      </c>
      <c r="Q638" s="2">
        <f t="shared" si="52"/>
        <v>329</v>
      </c>
      <c r="R638" s="2">
        <f t="shared" si="50"/>
        <v>1440</v>
      </c>
      <c r="S638" t="str">
        <f t="shared" si="49"/>
        <v>Highly Active</v>
      </c>
      <c r="T638" s="2">
        <v>2105</v>
      </c>
    </row>
    <row r="639" spans="1:20" x14ac:dyDescent="0.25">
      <c r="A639" s="2">
        <v>4558609924</v>
      </c>
      <c r="B639" s="3">
        <v>42491</v>
      </c>
      <c r="C639" t="str">
        <f t="shared" si="51"/>
        <v>Sunday</v>
      </c>
      <c r="D639" t="str">
        <f t="shared" si="48"/>
        <v>Weekend</v>
      </c>
      <c r="E639" s="2">
        <v>3428</v>
      </c>
      <c r="F639" s="2">
        <v>2.2699999809999998</v>
      </c>
      <c r="G639" s="2">
        <v>2.2699999809999998</v>
      </c>
      <c r="H639" s="2">
        <v>0</v>
      </c>
      <c r="I639" s="2">
        <v>0</v>
      </c>
      <c r="J639" s="2">
        <v>0</v>
      </c>
      <c r="K639" s="2">
        <v>2.2699999809999998</v>
      </c>
      <c r="L639" s="2">
        <v>0</v>
      </c>
      <c r="M639" s="2">
        <v>0</v>
      </c>
      <c r="N639" s="2">
        <v>0</v>
      </c>
      <c r="O639" s="2">
        <v>190</v>
      </c>
      <c r="P639" s="2">
        <v>1121</v>
      </c>
      <c r="Q639" s="2">
        <f t="shared" si="52"/>
        <v>190</v>
      </c>
      <c r="R639" s="2">
        <f t="shared" si="50"/>
        <v>1311</v>
      </c>
      <c r="S639" t="str">
        <f t="shared" si="49"/>
        <v>Sedentary</v>
      </c>
      <c r="T639" s="2">
        <v>1692</v>
      </c>
    </row>
    <row r="640" spans="1:20" x14ac:dyDescent="0.25">
      <c r="A640" s="2">
        <v>4558609924</v>
      </c>
      <c r="B640" s="3">
        <v>42492</v>
      </c>
      <c r="C640" t="str">
        <f t="shared" si="51"/>
        <v>Monday</v>
      </c>
      <c r="D640" t="str">
        <f t="shared" si="48"/>
        <v>Weekday</v>
      </c>
      <c r="E640" s="2">
        <v>7891</v>
      </c>
      <c r="F640" s="2">
        <v>5.2199997900000001</v>
      </c>
      <c r="G640" s="2">
        <v>5.2199997900000001</v>
      </c>
      <c r="H640" s="2">
        <v>0</v>
      </c>
      <c r="I640" s="2">
        <v>0</v>
      </c>
      <c r="J640" s="2">
        <v>0</v>
      </c>
      <c r="K640" s="2">
        <v>5.2199997900000001</v>
      </c>
      <c r="L640" s="2">
        <v>0</v>
      </c>
      <c r="M640" s="2">
        <v>0</v>
      </c>
      <c r="N640" s="2">
        <v>0</v>
      </c>
      <c r="O640" s="2">
        <v>383</v>
      </c>
      <c r="P640" s="2">
        <v>1057</v>
      </c>
      <c r="Q640" s="2">
        <f t="shared" si="52"/>
        <v>383</v>
      </c>
      <c r="R640" s="2">
        <f t="shared" si="50"/>
        <v>1440</v>
      </c>
      <c r="S640" t="str">
        <f t="shared" si="49"/>
        <v>Fairly Active</v>
      </c>
      <c r="T640" s="2">
        <v>2066</v>
      </c>
    </row>
    <row r="641" spans="1:20" x14ac:dyDescent="0.25">
      <c r="A641" s="2">
        <v>4558609924</v>
      </c>
      <c r="B641" s="3">
        <v>42493</v>
      </c>
      <c r="C641" t="str">
        <f t="shared" si="51"/>
        <v>Tuesday</v>
      </c>
      <c r="D641" t="str">
        <f t="shared" si="48"/>
        <v>Weekday</v>
      </c>
      <c r="E641" s="2">
        <v>5267</v>
      </c>
      <c r="F641" s="2">
        <v>3.4800000190000002</v>
      </c>
      <c r="G641" s="2">
        <v>3.4800000190000002</v>
      </c>
      <c r="H641" s="2">
        <v>0</v>
      </c>
      <c r="I641" s="2">
        <v>0.60000002399999997</v>
      </c>
      <c r="J641" s="2">
        <v>0.280000001</v>
      </c>
      <c r="K641" s="2">
        <v>2.5999999049999998</v>
      </c>
      <c r="L641" s="2">
        <v>0</v>
      </c>
      <c r="M641" s="2">
        <v>21</v>
      </c>
      <c r="N641" s="2">
        <v>10</v>
      </c>
      <c r="O641" s="2">
        <v>237</v>
      </c>
      <c r="P641" s="2">
        <v>1172</v>
      </c>
      <c r="Q641" s="2">
        <f t="shared" si="52"/>
        <v>268</v>
      </c>
      <c r="R641" s="2">
        <f t="shared" si="50"/>
        <v>1440</v>
      </c>
      <c r="S641" t="str">
        <f t="shared" si="49"/>
        <v>Lightly Active</v>
      </c>
      <c r="T641" s="2">
        <v>1953</v>
      </c>
    </row>
    <row r="642" spans="1:20" x14ac:dyDescent="0.25">
      <c r="A642" s="2">
        <v>4558609924</v>
      </c>
      <c r="B642" s="3">
        <v>42494</v>
      </c>
      <c r="C642" t="str">
        <f t="shared" si="51"/>
        <v>Wednesday</v>
      </c>
      <c r="D642" t="str">
        <f t="shared" si="48"/>
        <v>Weekday</v>
      </c>
      <c r="E642" s="2">
        <v>5232</v>
      </c>
      <c r="F642" s="2">
        <v>3.460000038</v>
      </c>
      <c r="G642" s="2">
        <v>3.460000038</v>
      </c>
      <c r="H642" s="2">
        <v>0</v>
      </c>
      <c r="I642" s="2">
        <v>0</v>
      </c>
      <c r="J642" s="2">
        <v>0</v>
      </c>
      <c r="K642" s="2">
        <v>3.460000038</v>
      </c>
      <c r="L642" s="2">
        <v>0</v>
      </c>
      <c r="M642" s="2">
        <v>0</v>
      </c>
      <c r="N642" s="2">
        <v>0</v>
      </c>
      <c r="O642" s="2">
        <v>252</v>
      </c>
      <c r="P642" s="2">
        <v>1188</v>
      </c>
      <c r="Q642" s="2">
        <f t="shared" si="52"/>
        <v>252</v>
      </c>
      <c r="R642" s="2">
        <f t="shared" si="50"/>
        <v>1440</v>
      </c>
      <c r="S642" t="str">
        <f t="shared" si="49"/>
        <v>Lightly Active</v>
      </c>
      <c r="T642" s="2">
        <v>1842</v>
      </c>
    </row>
    <row r="643" spans="1:20" x14ac:dyDescent="0.25">
      <c r="A643" s="2">
        <v>4558609924</v>
      </c>
      <c r="B643" s="3">
        <v>42495</v>
      </c>
      <c r="C643" t="str">
        <f t="shared" si="51"/>
        <v>Thursday</v>
      </c>
      <c r="D643" t="str">
        <f t="shared" ref="D643:D706" si="53">IF(OR(C643="Saturday", C643="Sunday"), "Weekend", "Weekday")</f>
        <v>Weekday</v>
      </c>
      <c r="E643" s="2">
        <v>10611</v>
      </c>
      <c r="F643" s="2">
        <v>7.0100002290000001</v>
      </c>
      <c r="G643" s="2">
        <v>7.0100002290000001</v>
      </c>
      <c r="H643" s="2">
        <v>0</v>
      </c>
      <c r="I643" s="2">
        <v>1.0099999900000001</v>
      </c>
      <c r="J643" s="2">
        <v>0.5</v>
      </c>
      <c r="K643" s="2">
        <v>5.5100002290000001</v>
      </c>
      <c r="L643" s="2">
        <v>0</v>
      </c>
      <c r="M643" s="2">
        <v>14</v>
      </c>
      <c r="N643" s="2">
        <v>8</v>
      </c>
      <c r="O643" s="2">
        <v>370</v>
      </c>
      <c r="P643" s="2">
        <v>1048</v>
      </c>
      <c r="Q643" s="2">
        <f t="shared" si="52"/>
        <v>392</v>
      </c>
      <c r="R643" s="2">
        <f t="shared" si="50"/>
        <v>1440</v>
      </c>
      <c r="S643" t="str">
        <f t="shared" ref="S643:S706" si="54">IF(E643&lt;5000, "Sedentary", IF(E643&lt;7500, "Lightly Active", IF(E643&lt;10000, "Fairly Active", "Highly Active")))</f>
        <v>Highly Active</v>
      </c>
      <c r="T643" s="2">
        <v>2262</v>
      </c>
    </row>
    <row r="644" spans="1:20" x14ac:dyDescent="0.25">
      <c r="A644" s="2">
        <v>4558609924</v>
      </c>
      <c r="B644" s="3">
        <v>42496</v>
      </c>
      <c r="C644" t="str">
        <f t="shared" si="51"/>
        <v>Friday</v>
      </c>
      <c r="D644" t="str">
        <f t="shared" si="53"/>
        <v>Weekday</v>
      </c>
      <c r="E644" s="2">
        <v>3755</v>
      </c>
      <c r="F644" s="2">
        <v>2.4800000190000002</v>
      </c>
      <c r="G644" s="2">
        <v>2.4800000190000002</v>
      </c>
      <c r="H644" s="2">
        <v>0</v>
      </c>
      <c r="I644" s="2">
        <v>0</v>
      </c>
      <c r="J644" s="2">
        <v>0</v>
      </c>
      <c r="K644" s="2">
        <v>2.4800000190000002</v>
      </c>
      <c r="L644" s="2">
        <v>0</v>
      </c>
      <c r="M644" s="2">
        <v>0</v>
      </c>
      <c r="N644" s="2">
        <v>0</v>
      </c>
      <c r="O644" s="2">
        <v>202</v>
      </c>
      <c r="P644" s="2">
        <v>1238</v>
      </c>
      <c r="Q644" s="2">
        <f t="shared" si="52"/>
        <v>202</v>
      </c>
      <c r="R644" s="2">
        <f t="shared" si="50"/>
        <v>1440</v>
      </c>
      <c r="S644" t="str">
        <f t="shared" si="54"/>
        <v>Sedentary</v>
      </c>
      <c r="T644" s="2">
        <v>1722</v>
      </c>
    </row>
    <row r="645" spans="1:20" x14ac:dyDescent="0.25">
      <c r="A645" s="2">
        <v>4558609924</v>
      </c>
      <c r="B645" s="3">
        <v>42497</v>
      </c>
      <c r="C645" t="str">
        <f t="shared" si="51"/>
        <v>Saturday</v>
      </c>
      <c r="D645" t="str">
        <f t="shared" si="53"/>
        <v>Weekend</v>
      </c>
      <c r="E645" s="2">
        <v>8237</v>
      </c>
      <c r="F645" s="2">
        <v>5.4400000569999998</v>
      </c>
      <c r="G645" s="2">
        <v>5.4400000569999998</v>
      </c>
      <c r="H645" s="2">
        <v>0</v>
      </c>
      <c r="I645" s="2">
        <v>1.6100000139999999</v>
      </c>
      <c r="J645" s="2">
        <v>1</v>
      </c>
      <c r="K645" s="2">
        <v>2.829999924</v>
      </c>
      <c r="L645" s="2">
        <v>0</v>
      </c>
      <c r="M645" s="2">
        <v>23</v>
      </c>
      <c r="N645" s="2">
        <v>16</v>
      </c>
      <c r="O645" s="2">
        <v>233</v>
      </c>
      <c r="P645" s="2">
        <v>1116</v>
      </c>
      <c r="Q645" s="2">
        <f t="shared" si="52"/>
        <v>272</v>
      </c>
      <c r="R645" s="2">
        <f t="shared" si="50"/>
        <v>1388</v>
      </c>
      <c r="S645" t="str">
        <f t="shared" si="54"/>
        <v>Fairly Active</v>
      </c>
      <c r="T645" s="2">
        <v>1973</v>
      </c>
    </row>
    <row r="646" spans="1:20" x14ac:dyDescent="0.25">
      <c r="A646" s="2">
        <v>4558609924</v>
      </c>
      <c r="B646" s="3">
        <v>42498</v>
      </c>
      <c r="C646" t="str">
        <f t="shared" si="51"/>
        <v>Sunday</v>
      </c>
      <c r="D646" t="str">
        <f t="shared" si="53"/>
        <v>Weekend</v>
      </c>
      <c r="E646" s="2">
        <v>6543</v>
      </c>
      <c r="F646" s="2">
        <v>4.329999924</v>
      </c>
      <c r="G646" s="2">
        <v>4.329999924</v>
      </c>
      <c r="H646" s="2">
        <v>0</v>
      </c>
      <c r="I646" s="2">
        <v>1.7999999520000001</v>
      </c>
      <c r="J646" s="2">
        <v>0.5</v>
      </c>
      <c r="K646" s="2">
        <v>2.0199999809999998</v>
      </c>
      <c r="L646" s="2">
        <v>0</v>
      </c>
      <c r="M646" s="2">
        <v>66</v>
      </c>
      <c r="N646" s="2">
        <v>35</v>
      </c>
      <c r="O646" s="2">
        <v>238</v>
      </c>
      <c r="P646" s="2">
        <v>1019</v>
      </c>
      <c r="Q646" s="2">
        <f t="shared" si="52"/>
        <v>339</v>
      </c>
      <c r="R646" s="2">
        <f t="shared" si="50"/>
        <v>1358</v>
      </c>
      <c r="S646" t="str">
        <f t="shared" si="54"/>
        <v>Lightly Active</v>
      </c>
      <c r="T646" s="2">
        <v>2666</v>
      </c>
    </row>
    <row r="647" spans="1:20" x14ac:dyDescent="0.25">
      <c r="A647" s="2">
        <v>4558609924</v>
      </c>
      <c r="B647" s="3">
        <v>42499</v>
      </c>
      <c r="C647" t="str">
        <f t="shared" si="51"/>
        <v>Monday</v>
      </c>
      <c r="D647" t="str">
        <f t="shared" si="53"/>
        <v>Weekday</v>
      </c>
      <c r="E647" s="2">
        <v>11451</v>
      </c>
      <c r="F647" s="2">
        <v>7.5700001720000003</v>
      </c>
      <c r="G647" s="2">
        <v>7.5700001720000003</v>
      </c>
      <c r="H647" s="2">
        <v>0</v>
      </c>
      <c r="I647" s="2">
        <v>0.43000000700000002</v>
      </c>
      <c r="J647" s="2">
        <v>1.6200000050000001</v>
      </c>
      <c r="K647" s="2">
        <v>5.5199999809999998</v>
      </c>
      <c r="L647" s="2">
        <v>0</v>
      </c>
      <c r="M647" s="2">
        <v>6</v>
      </c>
      <c r="N647" s="2">
        <v>30</v>
      </c>
      <c r="O647" s="2">
        <v>339</v>
      </c>
      <c r="P647" s="2">
        <v>1065</v>
      </c>
      <c r="Q647" s="2">
        <f t="shared" si="52"/>
        <v>375</v>
      </c>
      <c r="R647" s="2">
        <f t="shared" si="50"/>
        <v>1440</v>
      </c>
      <c r="S647" t="str">
        <f t="shared" si="54"/>
        <v>Highly Active</v>
      </c>
      <c r="T647" s="2">
        <v>2223</v>
      </c>
    </row>
    <row r="648" spans="1:20" x14ac:dyDescent="0.25">
      <c r="A648" s="2">
        <v>4558609924</v>
      </c>
      <c r="B648" s="3">
        <v>42500</v>
      </c>
      <c r="C648" t="str">
        <f t="shared" si="51"/>
        <v>Tuesday</v>
      </c>
      <c r="D648" t="str">
        <f t="shared" si="53"/>
        <v>Weekday</v>
      </c>
      <c r="E648" s="2">
        <v>6435</v>
      </c>
      <c r="F648" s="2">
        <v>4.25</v>
      </c>
      <c r="G648" s="2">
        <v>4.25</v>
      </c>
      <c r="H648" s="2">
        <v>0</v>
      </c>
      <c r="I648" s="2">
        <v>0.74000001000000004</v>
      </c>
      <c r="J648" s="2">
        <v>1.1200000050000001</v>
      </c>
      <c r="K648" s="2">
        <v>2.3900001049999999</v>
      </c>
      <c r="L648" s="2">
        <v>0</v>
      </c>
      <c r="M648" s="2">
        <v>11</v>
      </c>
      <c r="N648" s="2">
        <v>18</v>
      </c>
      <c r="O648" s="2">
        <v>220</v>
      </c>
      <c r="P648" s="2">
        <v>1191</v>
      </c>
      <c r="Q648" s="2">
        <f t="shared" si="52"/>
        <v>249</v>
      </c>
      <c r="R648" s="2">
        <f t="shared" si="50"/>
        <v>1440</v>
      </c>
      <c r="S648" t="str">
        <f t="shared" si="54"/>
        <v>Lightly Active</v>
      </c>
      <c r="T648" s="2">
        <v>1889</v>
      </c>
    </row>
    <row r="649" spans="1:20" x14ac:dyDescent="0.25">
      <c r="A649" s="2">
        <v>4558609924</v>
      </c>
      <c r="B649" s="3">
        <v>42501</v>
      </c>
      <c r="C649" t="str">
        <f t="shared" si="51"/>
        <v>Wednesday</v>
      </c>
      <c r="D649" t="str">
        <f t="shared" si="53"/>
        <v>Weekday</v>
      </c>
      <c r="E649" s="2">
        <v>9108</v>
      </c>
      <c r="F649" s="2">
        <v>6.0199999809999998</v>
      </c>
      <c r="G649" s="2">
        <v>6.0199999809999998</v>
      </c>
      <c r="H649" s="2">
        <v>0</v>
      </c>
      <c r="I649" s="2">
        <v>0.25999999000000001</v>
      </c>
      <c r="J649" s="2">
        <v>1.8200000519999999</v>
      </c>
      <c r="K649" s="2">
        <v>3.9400000569999998</v>
      </c>
      <c r="L649" s="2">
        <v>0</v>
      </c>
      <c r="M649" s="2">
        <v>4</v>
      </c>
      <c r="N649" s="2">
        <v>31</v>
      </c>
      <c r="O649" s="2">
        <v>324</v>
      </c>
      <c r="P649" s="2">
        <v>1081</v>
      </c>
      <c r="Q649" s="2">
        <f t="shared" si="52"/>
        <v>359</v>
      </c>
      <c r="R649" s="2">
        <f t="shared" si="50"/>
        <v>1440</v>
      </c>
      <c r="S649" t="str">
        <f t="shared" si="54"/>
        <v>Fairly Active</v>
      </c>
      <c r="T649" s="2">
        <v>2131</v>
      </c>
    </row>
    <row r="650" spans="1:20" x14ac:dyDescent="0.25">
      <c r="A650" s="2">
        <v>4558609924</v>
      </c>
      <c r="B650" s="3">
        <v>42502</v>
      </c>
      <c r="C650" t="str">
        <f t="shared" si="51"/>
        <v>Thursday</v>
      </c>
      <c r="D650" t="str">
        <f t="shared" si="53"/>
        <v>Weekday</v>
      </c>
      <c r="E650" s="2">
        <v>6307</v>
      </c>
      <c r="F650" s="2">
        <v>4.170000076</v>
      </c>
      <c r="G650" s="2">
        <v>4.170000076</v>
      </c>
      <c r="H650" s="2">
        <v>0</v>
      </c>
      <c r="I650" s="2">
        <v>0</v>
      </c>
      <c r="J650" s="2">
        <v>0</v>
      </c>
      <c r="K650" s="2">
        <v>4.170000076</v>
      </c>
      <c r="L650" s="2">
        <v>0</v>
      </c>
      <c r="M650" s="2">
        <v>0</v>
      </c>
      <c r="N650" s="2">
        <v>0</v>
      </c>
      <c r="O650" s="2">
        <v>247</v>
      </c>
      <c r="P650" s="2">
        <v>736</v>
      </c>
      <c r="Q650" s="2">
        <f t="shared" si="52"/>
        <v>247</v>
      </c>
      <c r="R650" s="2">
        <f t="shared" si="50"/>
        <v>983</v>
      </c>
      <c r="S650" t="str">
        <f t="shared" si="54"/>
        <v>Lightly Active</v>
      </c>
      <c r="T650" s="2">
        <v>1452</v>
      </c>
    </row>
    <row r="651" spans="1:20" x14ac:dyDescent="0.25">
      <c r="A651" s="2">
        <v>4702921684</v>
      </c>
      <c r="B651" s="3">
        <v>42458</v>
      </c>
      <c r="C651" t="str">
        <f t="shared" si="51"/>
        <v>Tuesday</v>
      </c>
      <c r="D651" t="str">
        <f t="shared" si="53"/>
        <v>Weekday</v>
      </c>
      <c r="E651" s="2">
        <v>6506</v>
      </c>
      <c r="F651" s="2">
        <v>5.2800002099999999</v>
      </c>
      <c r="G651" s="2">
        <v>5.2800002099999999</v>
      </c>
      <c r="H651" s="2">
        <v>0</v>
      </c>
      <c r="I651" s="2">
        <v>0.33000001299999998</v>
      </c>
      <c r="J651" s="2">
        <v>0.27000001099999998</v>
      </c>
      <c r="K651" s="2">
        <v>4.670000076</v>
      </c>
      <c r="L651" s="2">
        <v>0</v>
      </c>
      <c r="M651" s="2">
        <v>4</v>
      </c>
      <c r="N651" s="2">
        <v>5</v>
      </c>
      <c r="O651" s="2">
        <v>241</v>
      </c>
      <c r="P651" s="2">
        <v>760</v>
      </c>
      <c r="Q651" s="2">
        <f t="shared" si="52"/>
        <v>250</v>
      </c>
      <c r="R651" s="2">
        <f t="shared" si="50"/>
        <v>1010</v>
      </c>
      <c r="S651" t="str">
        <f t="shared" si="54"/>
        <v>Lightly Active</v>
      </c>
      <c r="T651" s="2">
        <v>2886</v>
      </c>
    </row>
    <row r="652" spans="1:20" x14ac:dyDescent="0.25">
      <c r="A652" s="2">
        <v>4702921684</v>
      </c>
      <c r="B652" s="3">
        <v>42459</v>
      </c>
      <c r="C652" t="str">
        <f t="shared" si="51"/>
        <v>Wednesday</v>
      </c>
      <c r="D652" t="str">
        <f t="shared" si="53"/>
        <v>Weekday</v>
      </c>
      <c r="E652" s="2">
        <v>7583</v>
      </c>
      <c r="F652" s="2">
        <v>6.1500000950000002</v>
      </c>
      <c r="G652" s="2">
        <v>6.1500000950000002</v>
      </c>
      <c r="H652" s="2">
        <v>0</v>
      </c>
      <c r="I652" s="2">
        <v>0.25</v>
      </c>
      <c r="J652" s="2">
        <v>0.55000001200000004</v>
      </c>
      <c r="K652" s="2">
        <v>5.3499999049999998</v>
      </c>
      <c r="L652" s="2">
        <v>0</v>
      </c>
      <c r="M652" s="2">
        <v>3</v>
      </c>
      <c r="N652" s="2">
        <v>13</v>
      </c>
      <c r="O652" s="2">
        <v>227</v>
      </c>
      <c r="P652" s="2">
        <v>742</v>
      </c>
      <c r="Q652" s="2">
        <f t="shared" si="52"/>
        <v>243</v>
      </c>
      <c r="R652" s="2">
        <f t="shared" si="50"/>
        <v>985</v>
      </c>
      <c r="S652" t="str">
        <f t="shared" si="54"/>
        <v>Fairly Active</v>
      </c>
      <c r="T652" s="2">
        <v>2915</v>
      </c>
    </row>
    <row r="653" spans="1:20" x14ac:dyDescent="0.25">
      <c r="A653" s="2">
        <v>4702921684</v>
      </c>
      <c r="B653" s="3">
        <v>42460</v>
      </c>
      <c r="C653" t="str">
        <f t="shared" si="51"/>
        <v>Thursday</v>
      </c>
      <c r="D653" t="str">
        <f t="shared" si="53"/>
        <v>Weekday</v>
      </c>
      <c r="E653" s="2">
        <v>6963</v>
      </c>
      <c r="F653" s="2">
        <v>5.6500000950000002</v>
      </c>
      <c r="G653" s="2">
        <v>5.6500000950000002</v>
      </c>
      <c r="H653" s="2">
        <v>0</v>
      </c>
      <c r="I653" s="2">
        <v>0</v>
      </c>
      <c r="J653" s="2">
        <v>0</v>
      </c>
      <c r="K653" s="2">
        <v>5.6500000950000002</v>
      </c>
      <c r="L653" s="2">
        <v>0</v>
      </c>
      <c r="M653" s="2">
        <v>0</v>
      </c>
      <c r="N653" s="2">
        <v>0</v>
      </c>
      <c r="O653" s="2">
        <v>256</v>
      </c>
      <c r="P653" s="2">
        <v>759</v>
      </c>
      <c r="Q653" s="2">
        <f t="shared" si="52"/>
        <v>256</v>
      </c>
      <c r="R653" s="2">
        <f t="shared" si="50"/>
        <v>1015</v>
      </c>
      <c r="S653" t="str">
        <f t="shared" si="54"/>
        <v>Lightly Active</v>
      </c>
      <c r="T653" s="2">
        <v>2895</v>
      </c>
    </row>
    <row r="654" spans="1:20" x14ac:dyDescent="0.25">
      <c r="A654" s="2">
        <v>4702921684</v>
      </c>
      <c r="B654" s="3">
        <v>42461</v>
      </c>
      <c r="C654" t="str">
        <f t="shared" si="51"/>
        <v>Friday</v>
      </c>
      <c r="D654" t="str">
        <f t="shared" si="53"/>
        <v>Weekday</v>
      </c>
      <c r="E654" s="2">
        <v>7165</v>
      </c>
      <c r="F654" s="2">
        <v>5.8099999430000002</v>
      </c>
      <c r="G654" s="2">
        <v>5.8099999430000002</v>
      </c>
      <c r="H654" s="2">
        <v>0</v>
      </c>
      <c r="I654" s="2">
        <v>0</v>
      </c>
      <c r="J654" s="2">
        <v>0.37000000500000002</v>
      </c>
      <c r="K654" s="2">
        <v>5.4400000569999998</v>
      </c>
      <c r="L654" s="2">
        <v>0</v>
      </c>
      <c r="M654" s="2">
        <v>0</v>
      </c>
      <c r="N654" s="2">
        <v>9</v>
      </c>
      <c r="O654" s="2">
        <v>248</v>
      </c>
      <c r="P654" s="2">
        <v>708</v>
      </c>
      <c r="Q654" s="2">
        <f t="shared" si="52"/>
        <v>257</v>
      </c>
      <c r="R654" s="2">
        <f t="shared" si="50"/>
        <v>965</v>
      </c>
      <c r="S654" t="str">
        <f t="shared" si="54"/>
        <v>Lightly Active</v>
      </c>
      <c r="T654" s="2">
        <v>2923</v>
      </c>
    </row>
    <row r="655" spans="1:20" x14ac:dyDescent="0.25">
      <c r="A655" s="2">
        <v>4702921684</v>
      </c>
      <c r="B655" s="3">
        <v>42462</v>
      </c>
      <c r="C655" t="str">
        <f t="shared" si="51"/>
        <v>Saturday</v>
      </c>
      <c r="D655" t="str">
        <f t="shared" si="53"/>
        <v>Weekend</v>
      </c>
      <c r="E655" s="2">
        <v>10328</v>
      </c>
      <c r="F655" s="2">
        <v>8.3800001139999996</v>
      </c>
      <c r="G655" s="2">
        <v>8.3800001139999996</v>
      </c>
      <c r="H655" s="2">
        <v>0</v>
      </c>
      <c r="I655" s="2">
        <v>0</v>
      </c>
      <c r="J655" s="2">
        <v>1.460000038</v>
      </c>
      <c r="K655" s="2">
        <v>6.920000076</v>
      </c>
      <c r="L655" s="2">
        <v>0</v>
      </c>
      <c r="M655" s="2">
        <v>0</v>
      </c>
      <c r="N655" s="2">
        <v>32</v>
      </c>
      <c r="O655" s="2">
        <v>367</v>
      </c>
      <c r="P655" s="2">
        <v>475</v>
      </c>
      <c r="Q655" s="2">
        <f t="shared" si="52"/>
        <v>399</v>
      </c>
      <c r="R655" s="2">
        <f t="shared" si="50"/>
        <v>874</v>
      </c>
      <c r="S655" t="str">
        <f t="shared" si="54"/>
        <v>Highly Active</v>
      </c>
      <c r="T655" s="2">
        <v>3323</v>
      </c>
    </row>
    <row r="656" spans="1:20" x14ac:dyDescent="0.25">
      <c r="A656" s="2">
        <v>4702921684</v>
      </c>
      <c r="B656" s="3">
        <v>42463</v>
      </c>
      <c r="C656" t="str">
        <f t="shared" si="51"/>
        <v>Sunday</v>
      </c>
      <c r="D656" t="str">
        <f t="shared" si="53"/>
        <v>Weekend</v>
      </c>
      <c r="E656" s="2">
        <v>12116</v>
      </c>
      <c r="F656" s="2">
        <v>9.8299999239999991</v>
      </c>
      <c r="G656" s="2">
        <v>9.8299999239999991</v>
      </c>
      <c r="H656" s="2">
        <v>0</v>
      </c>
      <c r="I656" s="2">
        <v>0.25</v>
      </c>
      <c r="J656" s="2">
        <v>2.8499999049999998</v>
      </c>
      <c r="K656" s="2">
        <v>6.7199997900000001</v>
      </c>
      <c r="L656" s="2">
        <v>0</v>
      </c>
      <c r="M656" s="2">
        <v>3</v>
      </c>
      <c r="N656" s="2">
        <v>57</v>
      </c>
      <c r="O656" s="2">
        <v>323</v>
      </c>
      <c r="P656" s="2">
        <v>471</v>
      </c>
      <c r="Q656" s="2">
        <f t="shared" si="52"/>
        <v>383</v>
      </c>
      <c r="R656" s="2">
        <f t="shared" si="50"/>
        <v>854</v>
      </c>
      <c r="S656" t="str">
        <f t="shared" si="54"/>
        <v>Highly Active</v>
      </c>
      <c r="T656" s="2">
        <v>3357</v>
      </c>
    </row>
    <row r="657" spans="1:20" x14ac:dyDescent="0.25">
      <c r="A657" s="2">
        <v>4702921684</v>
      </c>
      <c r="B657" s="3">
        <v>42464</v>
      </c>
      <c r="C657" t="str">
        <f t="shared" si="51"/>
        <v>Monday</v>
      </c>
      <c r="D657" t="str">
        <f t="shared" si="53"/>
        <v>Weekday</v>
      </c>
      <c r="E657" s="2">
        <v>7810</v>
      </c>
      <c r="F657" s="2">
        <v>6.3600001339999999</v>
      </c>
      <c r="G657" s="2">
        <v>6.3600001339999999</v>
      </c>
      <c r="H657" s="2">
        <v>0</v>
      </c>
      <c r="I657" s="2">
        <v>0.47999998900000002</v>
      </c>
      <c r="J657" s="2">
        <v>1.2000000479999999</v>
      </c>
      <c r="K657" s="2">
        <v>4.6799998279999997</v>
      </c>
      <c r="L657" s="2">
        <v>0</v>
      </c>
      <c r="M657" s="2">
        <v>6</v>
      </c>
      <c r="N657" s="2">
        <v>27</v>
      </c>
      <c r="O657" s="2">
        <v>216</v>
      </c>
      <c r="P657" s="2">
        <v>746</v>
      </c>
      <c r="Q657" s="2">
        <f t="shared" si="52"/>
        <v>249</v>
      </c>
      <c r="R657" s="2">
        <f t="shared" si="50"/>
        <v>995</v>
      </c>
      <c r="S657" t="str">
        <f t="shared" si="54"/>
        <v>Fairly Active</v>
      </c>
      <c r="T657" s="2">
        <v>2931</v>
      </c>
    </row>
    <row r="658" spans="1:20" x14ac:dyDescent="0.25">
      <c r="A658" s="2">
        <v>4702921684</v>
      </c>
      <c r="B658" s="3">
        <v>42465</v>
      </c>
      <c r="C658" t="str">
        <f t="shared" si="51"/>
        <v>Tuesday</v>
      </c>
      <c r="D658" t="str">
        <f t="shared" si="53"/>
        <v>Weekday</v>
      </c>
      <c r="E658" s="2">
        <v>6670</v>
      </c>
      <c r="F658" s="2">
        <v>5.4099998469999999</v>
      </c>
      <c r="G658" s="2">
        <v>5.4099998469999999</v>
      </c>
      <c r="H658" s="2">
        <v>0</v>
      </c>
      <c r="I658" s="2">
        <v>1.2400000099999999</v>
      </c>
      <c r="J658" s="2">
        <v>0.80000001200000004</v>
      </c>
      <c r="K658" s="2">
        <v>3.369999886</v>
      </c>
      <c r="L658" s="2">
        <v>0</v>
      </c>
      <c r="M658" s="2">
        <v>15</v>
      </c>
      <c r="N658" s="2">
        <v>16</v>
      </c>
      <c r="O658" s="2">
        <v>199</v>
      </c>
      <c r="P658" s="2">
        <v>770</v>
      </c>
      <c r="Q658" s="2">
        <f t="shared" si="52"/>
        <v>230</v>
      </c>
      <c r="R658" s="2">
        <f t="shared" si="50"/>
        <v>1000</v>
      </c>
      <c r="S658" t="str">
        <f t="shared" si="54"/>
        <v>Lightly Active</v>
      </c>
      <c r="T658" s="2">
        <v>2848</v>
      </c>
    </row>
    <row r="659" spans="1:20" x14ac:dyDescent="0.25">
      <c r="A659" s="2">
        <v>4702921684</v>
      </c>
      <c r="B659" s="3">
        <v>42466</v>
      </c>
      <c r="C659" t="str">
        <f t="shared" si="51"/>
        <v>Wednesday</v>
      </c>
      <c r="D659" t="str">
        <f t="shared" si="53"/>
        <v>Weekday</v>
      </c>
      <c r="E659" s="2">
        <v>7605</v>
      </c>
      <c r="F659" s="2">
        <v>6.1799998279999997</v>
      </c>
      <c r="G659" s="2">
        <v>6.1799998279999997</v>
      </c>
      <c r="H659" s="2">
        <v>0</v>
      </c>
      <c r="I659" s="2">
        <v>0.33000001299999998</v>
      </c>
      <c r="J659" s="2">
        <v>0.209999993</v>
      </c>
      <c r="K659" s="2">
        <v>5.6300001139999996</v>
      </c>
      <c r="L659" s="2">
        <v>0</v>
      </c>
      <c r="M659" s="2">
        <v>4</v>
      </c>
      <c r="N659" s="2">
        <v>4</v>
      </c>
      <c r="O659" s="2">
        <v>248</v>
      </c>
      <c r="P659" s="2">
        <v>708</v>
      </c>
      <c r="Q659" s="2">
        <f t="shared" si="52"/>
        <v>256</v>
      </c>
      <c r="R659" s="2">
        <f t="shared" si="50"/>
        <v>964</v>
      </c>
      <c r="S659" t="str">
        <f t="shared" si="54"/>
        <v>Fairly Active</v>
      </c>
      <c r="T659" s="2">
        <v>2943</v>
      </c>
    </row>
    <row r="660" spans="1:20" x14ac:dyDescent="0.25">
      <c r="A660" s="2">
        <v>4702921684</v>
      </c>
      <c r="B660" s="3">
        <v>42467</v>
      </c>
      <c r="C660" t="str">
        <f t="shared" si="51"/>
        <v>Thursday</v>
      </c>
      <c r="D660" t="str">
        <f t="shared" si="53"/>
        <v>Weekday</v>
      </c>
      <c r="E660" s="2">
        <v>6585</v>
      </c>
      <c r="F660" s="2">
        <v>5.3400001530000001</v>
      </c>
      <c r="G660" s="2">
        <v>5.3400001530000001</v>
      </c>
      <c r="H660" s="2">
        <v>0</v>
      </c>
      <c r="I660" s="2">
        <v>0</v>
      </c>
      <c r="J660" s="2">
        <v>0</v>
      </c>
      <c r="K660" s="2">
        <v>5.3400001530000001</v>
      </c>
      <c r="L660" s="2">
        <v>0</v>
      </c>
      <c r="M660" s="2">
        <v>0</v>
      </c>
      <c r="N660" s="2">
        <v>0</v>
      </c>
      <c r="O660" s="2">
        <v>210</v>
      </c>
      <c r="P660" s="2">
        <v>770</v>
      </c>
      <c r="Q660" s="2">
        <f t="shared" si="52"/>
        <v>210</v>
      </c>
      <c r="R660" s="2">
        <f t="shared" si="50"/>
        <v>980</v>
      </c>
      <c r="S660" t="str">
        <f t="shared" si="54"/>
        <v>Lightly Active</v>
      </c>
      <c r="T660" s="2">
        <v>2822</v>
      </c>
    </row>
    <row r="661" spans="1:20" x14ac:dyDescent="0.25">
      <c r="A661" s="2">
        <v>4702921684</v>
      </c>
      <c r="B661" s="3">
        <v>42468</v>
      </c>
      <c r="C661" t="str">
        <f t="shared" si="51"/>
        <v>Friday</v>
      </c>
      <c r="D661" t="str">
        <f t="shared" si="53"/>
        <v>Weekday</v>
      </c>
      <c r="E661" s="2">
        <v>8184</v>
      </c>
      <c r="F661" s="2">
        <v>6.6399998660000001</v>
      </c>
      <c r="G661" s="2">
        <v>6.6399998660000001</v>
      </c>
      <c r="H661" s="2">
        <v>0</v>
      </c>
      <c r="I661" s="2">
        <v>0</v>
      </c>
      <c r="J661" s="2">
        <v>0.62000000499999997</v>
      </c>
      <c r="K661" s="2">
        <v>5.9499998090000004</v>
      </c>
      <c r="L661" s="2">
        <v>0</v>
      </c>
      <c r="M661" s="2">
        <v>0</v>
      </c>
      <c r="N661" s="2">
        <v>15</v>
      </c>
      <c r="O661" s="2">
        <v>247</v>
      </c>
      <c r="P661" s="2">
        <v>808</v>
      </c>
      <c r="Q661" s="2">
        <f t="shared" si="52"/>
        <v>262</v>
      </c>
      <c r="R661" s="2">
        <f t="shared" si="50"/>
        <v>1070</v>
      </c>
      <c r="S661" t="str">
        <f t="shared" si="54"/>
        <v>Fairly Active</v>
      </c>
      <c r="T661" s="2">
        <v>2981</v>
      </c>
    </row>
    <row r="662" spans="1:20" x14ac:dyDescent="0.25">
      <c r="A662" s="2">
        <v>4702921684</v>
      </c>
      <c r="B662" s="3">
        <v>42469</v>
      </c>
      <c r="C662" t="str">
        <f t="shared" si="51"/>
        <v>Saturday</v>
      </c>
      <c r="D662" t="str">
        <f t="shared" si="53"/>
        <v>Weekend</v>
      </c>
      <c r="E662" s="2">
        <v>14002</v>
      </c>
      <c r="F662" s="2">
        <v>11.35999966</v>
      </c>
      <c r="G662" s="2">
        <v>11.35999966</v>
      </c>
      <c r="H662" s="2">
        <v>0</v>
      </c>
      <c r="I662" s="2">
        <v>0.61000001400000003</v>
      </c>
      <c r="J662" s="2">
        <v>2.6800000669999999</v>
      </c>
      <c r="K662" s="2">
        <v>8.0600004199999997</v>
      </c>
      <c r="L662" s="2">
        <v>0</v>
      </c>
      <c r="M662" s="2">
        <v>8</v>
      </c>
      <c r="N662" s="2">
        <v>56</v>
      </c>
      <c r="O662" s="2">
        <v>381</v>
      </c>
      <c r="P662" s="2">
        <v>407</v>
      </c>
      <c r="Q662" s="2">
        <f t="shared" si="52"/>
        <v>445</v>
      </c>
      <c r="R662" s="2">
        <f t="shared" si="50"/>
        <v>852</v>
      </c>
      <c r="S662" t="str">
        <f t="shared" si="54"/>
        <v>Highly Active</v>
      </c>
      <c r="T662" s="2">
        <v>3597</v>
      </c>
    </row>
    <row r="663" spans="1:20" x14ac:dyDescent="0.25">
      <c r="A663" s="2">
        <v>4702921684</v>
      </c>
      <c r="B663" s="3">
        <v>42470</v>
      </c>
      <c r="C663" t="str">
        <f t="shared" si="51"/>
        <v>Sunday</v>
      </c>
      <c r="D663" t="str">
        <f t="shared" si="53"/>
        <v>Weekend</v>
      </c>
      <c r="E663" s="2">
        <v>11135</v>
      </c>
      <c r="F663" s="2">
        <v>9.0299997330000004</v>
      </c>
      <c r="G663" s="2">
        <v>9.0299997330000004</v>
      </c>
      <c r="H663" s="2">
        <v>0</v>
      </c>
      <c r="I663" s="2">
        <v>7.9999998000000003E-2</v>
      </c>
      <c r="J663" s="2">
        <v>1.1599999670000001</v>
      </c>
      <c r="K663" s="2">
        <v>7.7899999619999996</v>
      </c>
      <c r="L663" s="2">
        <v>0</v>
      </c>
      <c r="M663" s="2">
        <v>1</v>
      </c>
      <c r="N663" s="2">
        <v>25</v>
      </c>
      <c r="O663" s="2">
        <v>331</v>
      </c>
      <c r="P663" s="2">
        <v>528</v>
      </c>
      <c r="Q663" s="2">
        <f t="shared" si="52"/>
        <v>357</v>
      </c>
      <c r="R663" s="2">
        <f t="shared" si="50"/>
        <v>885</v>
      </c>
      <c r="S663" t="str">
        <f t="shared" si="54"/>
        <v>Highly Active</v>
      </c>
      <c r="T663" s="2">
        <v>3224</v>
      </c>
    </row>
    <row r="664" spans="1:20" x14ac:dyDescent="0.25">
      <c r="A664" s="2">
        <v>4702921684</v>
      </c>
      <c r="B664" s="3">
        <v>42471</v>
      </c>
      <c r="C664" t="str">
        <f t="shared" si="51"/>
        <v>Monday</v>
      </c>
      <c r="D664" t="str">
        <f t="shared" si="53"/>
        <v>Weekday</v>
      </c>
      <c r="E664" s="2">
        <v>6499</v>
      </c>
      <c r="F664" s="2">
        <v>5.2699999809999998</v>
      </c>
      <c r="G664" s="2">
        <v>5.2699999809999998</v>
      </c>
      <c r="H664" s="2">
        <v>0</v>
      </c>
      <c r="I664" s="2">
        <v>0</v>
      </c>
      <c r="J664" s="2">
        <v>0</v>
      </c>
      <c r="K664" s="2">
        <v>5.2699999809999998</v>
      </c>
      <c r="L664" s="2">
        <v>0</v>
      </c>
      <c r="M664" s="2">
        <v>0</v>
      </c>
      <c r="N664" s="2">
        <v>0</v>
      </c>
      <c r="O664" s="2">
        <v>207</v>
      </c>
      <c r="P664" s="2">
        <v>809</v>
      </c>
      <c r="Q664" s="2">
        <f t="shared" si="52"/>
        <v>207</v>
      </c>
      <c r="R664" s="2">
        <f t="shared" si="50"/>
        <v>1016</v>
      </c>
      <c r="S664" t="str">
        <f t="shared" si="54"/>
        <v>Lightly Active</v>
      </c>
      <c r="T664" s="2">
        <v>2677</v>
      </c>
    </row>
    <row r="665" spans="1:20" x14ac:dyDescent="0.25">
      <c r="A665" s="2">
        <v>4702921684</v>
      </c>
      <c r="B665" s="3">
        <v>42473</v>
      </c>
      <c r="C665" t="str">
        <f t="shared" si="51"/>
        <v>Wednesday</v>
      </c>
      <c r="D665" t="str">
        <f t="shared" si="53"/>
        <v>Weekday</v>
      </c>
      <c r="E665" s="2">
        <v>6877</v>
      </c>
      <c r="F665" s="2">
        <v>5.579999924</v>
      </c>
      <c r="G665" s="2">
        <v>5.579999924</v>
      </c>
      <c r="H665" s="2">
        <v>0</v>
      </c>
      <c r="I665" s="2">
        <v>0</v>
      </c>
      <c r="J665" s="2">
        <v>0</v>
      </c>
      <c r="K665" s="2">
        <v>5.579999924</v>
      </c>
      <c r="L665" s="2">
        <v>0</v>
      </c>
      <c r="M665" s="2">
        <v>0</v>
      </c>
      <c r="N665" s="2">
        <v>0</v>
      </c>
      <c r="O665" s="2">
        <v>258</v>
      </c>
      <c r="P665" s="2">
        <v>777</v>
      </c>
      <c r="Q665" s="2">
        <f t="shared" si="52"/>
        <v>258</v>
      </c>
      <c r="R665" s="2">
        <f t="shared" si="50"/>
        <v>1035</v>
      </c>
      <c r="S665" t="str">
        <f t="shared" si="54"/>
        <v>Lightly Active</v>
      </c>
      <c r="T665" s="2">
        <v>2898</v>
      </c>
    </row>
    <row r="666" spans="1:20" x14ac:dyDescent="0.25">
      <c r="A666" s="2">
        <v>4702921684</v>
      </c>
      <c r="B666" s="3">
        <v>42474</v>
      </c>
      <c r="C666" t="str">
        <f t="shared" si="51"/>
        <v>Thursday</v>
      </c>
      <c r="D666" t="str">
        <f t="shared" si="53"/>
        <v>Weekday</v>
      </c>
      <c r="E666" s="2">
        <v>7860</v>
      </c>
      <c r="F666" s="2">
        <v>6.3699998860000004</v>
      </c>
      <c r="G666" s="2">
        <v>6.3699998860000004</v>
      </c>
      <c r="H666" s="2">
        <v>0</v>
      </c>
      <c r="I666" s="2">
        <v>0</v>
      </c>
      <c r="J666" s="2">
        <v>0</v>
      </c>
      <c r="K666" s="2">
        <v>6.3699998860000004</v>
      </c>
      <c r="L666" s="2">
        <v>0</v>
      </c>
      <c r="M666" s="2">
        <v>0</v>
      </c>
      <c r="N666" s="2">
        <v>0</v>
      </c>
      <c r="O666" s="2">
        <v>271</v>
      </c>
      <c r="P666" s="2">
        <v>772</v>
      </c>
      <c r="Q666" s="2">
        <f t="shared" si="52"/>
        <v>271</v>
      </c>
      <c r="R666" s="2">
        <f t="shared" si="50"/>
        <v>1043</v>
      </c>
      <c r="S666" t="str">
        <f t="shared" si="54"/>
        <v>Fairly Active</v>
      </c>
      <c r="T666" s="2">
        <v>2984</v>
      </c>
    </row>
    <row r="667" spans="1:20" x14ac:dyDescent="0.25">
      <c r="A667" s="2">
        <v>4702921684</v>
      </c>
      <c r="B667" s="3">
        <v>42475</v>
      </c>
      <c r="C667" t="str">
        <f t="shared" si="51"/>
        <v>Friday</v>
      </c>
      <c r="D667" t="str">
        <f t="shared" si="53"/>
        <v>Weekday</v>
      </c>
      <c r="E667" s="2">
        <v>6506</v>
      </c>
      <c r="F667" s="2">
        <v>5.2800002099999999</v>
      </c>
      <c r="G667" s="2">
        <v>5.2800002099999999</v>
      </c>
      <c r="H667" s="2">
        <v>0</v>
      </c>
      <c r="I667" s="2">
        <v>7.0000000000000007E-2</v>
      </c>
      <c r="J667" s="2">
        <v>0.41999998700000002</v>
      </c>
      <c r="K667" s="2">
        <v>4.7899999619999996</v>
      </c>
      <c r="L667" s="2">
        <v>0</v>
      </c>
      <c r="M667" s="2">
        <v>1</v>
      </c>
      <c r="N667" s="2">
        <v>8</v>
      </c>
      <c r="O667" s="2">
        <v>256</v>
      </c>
      <c r="P667" s="2">
        <v>944</v>
      </c>
      <c r="Q667" s="2">
        <f t="shared" si="52"/>
        <v>265</v>
      </c>
      <c r="R667" s="2">
        <f t="shared" si="50"/>
        <v>1209</v>
      </c>
      <c r="S667" t="str">
        <f t="shared" si="54"/>
        <v>Lightly Active</v>
      </c>
      <c r="T667" s="2">
        <v>2896</v>
      </c>
    </row>
    <row r="668" spans="1:20" x14ac:dyDescent="0.25">
      <c r="A668" s="2">
        <v>4702921684</v>
      </c>
      <c r="B668" s="3">
        <v>42476</v>
      </c>
      <c r="C668" t="str">
        <f t="shared" si="51"/>
        <v>Saturday</v>
      </c>
      <c r="D668" t="str">
        <f t="shared" si="53"/>
        <v>Weekend</v>
      </c>
      <c r="E668" s="2">
        <v>11140</v>
      </c>
      <c r="F668" s="2">
        <v>9.0299997330000004</v>
      </c>
      <c r="G668" s="2">
        <v>9.0299997330000004</v>
      </c>
      <c r="H668" s="2">
        <v>0</v>
      </c>
      <c r="I668" s="2">
        <v>0.23999999499999999</v>
      </c>
      <c r="J668" s="2">
        <v>1.25</v>
      </c>
      <c r="K668" s="2">
        <v>7.5399999619999996</v>
      </c>
      <c r="L668" s="2">
        <v>0</v>
      </c>
      <c r="M668" s="2">
        <v>3</v>
      </c>
      <c r="N668" s="2">
        <v>24</v>
      </c>
      <c r="O668" s="2">
        <v>335</v>
      </c>
      <c r="P668" s="2">
        <v>556</v>
      </c>
      <c r="Q668" s="2">
        <f t="shared" si="52"/>
        <v>362</v>
      </c>
      <c r="R668" s="2">
        <f t="shared" si="50"/>
        <v>918</v>
      </c>
      <c r="S668" t="str">
        <f t="shared" si="54"/>
        <v>Highly Active</v>
      </c>
      <c r="T668" s="2">
        <v>3328</v>
      </c>
    </row>
    <row r="669" spans="1:20" x14ac:dyDescent="0.25">
      <c r="A669" s="2">
        <v>4702921684</v>
      </c>
      <c r="B669" s="3">
        <v>42477</v>
      </c>
      <c r="C669" t="str">
        <f t="shared" si="51"/>
        <v>Sunday</v>
      </c>
      <c r="D669" t="str">
        <f t="shared" si="53"/>
        <v>Weekend</v>
      </c>
      <c r="E669" s="2">
        <v>12692</v>
      </c>
      <c r="F669" s="2">
        <v>10.289999959999999</v>
      </c>
      <c r="G669" s="2">
        <v>10.289999959999999</v>
      </c>
      <c r="H669" s="2">
        <v>0</v>
      </c>
      <c r="I669" s="2">
        <v>0.959999979</v>
      </c>
      <c r="J669" s="2">
        <v>3.460000038</v>
      </c>
      <c r="K669" s="2">
        <v>5.8800001139999996</v>
      </c>
      <c r="L669" s="2">
        <v>0</v>
      </c>
      <c r="M669" s="2">
        <v>12</v>
      </c>
      <c r="N669" s="2">
        <v>66</v>
      </c>
      <c r="O669" s="2">
        <v>302</v>
      </c>
      <c r="P669" s="2">
        <v>437</v>
      </c>
      <c r="Q669" s="2">
        <f t="shared" si="52"/>
        <v>380</v>
      </c>
      <c r="R669" s="2">
        <f t="shared" si="50"/>
        <v>817</v>
      </c>
      <c r="S669" t="str">
        <f t="shared" si="54"/>
        <v>Highly Active</v>
      </c>
      <c r="T669" s="2">
        <v>3394</v>
      </c>
    </row>
    <row r="670" spans="1:20" x14ac:dyDescent="0.25">
      <c r="A670" s="2">
        <v>4702921684</v>
      </c>
      <c r="B670" s="3">
        <v>42478</v>
      </c>
      <c r="C670" t="str">
        <f t="shared" si="51"/>
        <v>Monday</v>
      </c>
      <c r="D670" t="str">
        <f t="shared" si="53"/>
        <v>Weekday</v>
      </c>
      <c r="E670" s="2">
        <v>9105</v>
      </c>
      <c r="F670" s="2">
        <v>7.3800001139999996</v>
      </c>
      <c r="G670" s="2">
        <v>7.3800001139999996</v>
      </c>
      <c r="H670" s="2">
        <v>0</v>
      </c>
      <c r="I670" s="2">
        <v>1.8200000519999999</v>
      </c>
      <c r="J670" s="2">
        <v>1.4900000099999999</v>
      </c>
      <c r="K670" s="2">
        <v>4.0700001720000003</v>
      </c>
      <c r="L670" s="2">
        <v>0</v>
      </c>
      <c r="M670" s="2">
        <v>22</v>
      </c>
      <c r="N670" s="2">
        <v>30</v>
      </c>
      <c r="O670" s="2">
        <v>191</v>
      </c>
      <c r="P670" s="2">
        <v>890</v>
      </c>
      <c r="Q670" s="2">
        <f t="shared" si="52"/>
        <v>243</v>
      </c>
      <c r="R670" s="2">
        <f t="shared" si="50"/>
        <v>1133</v>
      </c>
      <c r="S670" t="str">
        <f t="shared" si="54"/>
        <v>Fairly Active</v>
      </c>
      <c r="T670" s="2">
        <v>3013</v>
      </c>
    </row>
    <row r="671" spans="1:20" x14ac:dyDescent="0.25">
      <c r="A671" s="2">
        <v>4702921684</v>
      </c>
      <c r="B671" s="3">
        <v>42479</v>
      </c>
      <c r="C671" t="str">
        <f t="shared" si="51"/>
        <v>Tuesday</v>
      </c>
      <c r="D671" t="str">
        <f t="shared" si="53"/>
        <v>Weekday</v>
      </c>
      <c r="E671" s="2">
        <v>6708</v>
      </c>
      <c r="F671" s="2">
        <v>5.4400000569999998</v>
      </c>
      <c r="G671" s="2">
        <v>5.4400000569999998</v>
      </c>
      <c r="H671" s="2">
        <v>0</v>
      </c>
      <c r="I671" s="2">
        <v>0.87999999500000003</v>
      </c>
      <c r="J671" s="2">
        <v>0.37000000500000002</v>
      </c>
      <c r="K671" s="2">
        <v>4.1900000569999998</v>
      </c>
      <c r="L671" s="2">
        <v>0</v>
      </c>
      <c r="M671" s="2">
        <v>10</v>
      </c>
      <c r="N671" s="2">
        <v>8</v>
      </c>
      <c r="O671" s="2">
        <v>179</v>
      </c>
      <c r="P671" s="2">
        <v>757</v>
      </c>
      <c r="Q671" s="2">
        <f t="shared" si="52"/>
        <v>197</v>
      </c>
      <c r="R671" s="2">
        <f t="shared" si="50"/>
        <v>954</v>
      </c>
      <c r="S671" t="str">
        <f t="shared" si="54"/>
        <v>Lightly Active</v>
      </c>
      <c r="T671" s="2">
        <v>2812</v>
      </c>
    </row>
    <row r="672" spans="1:20" x14ac:dyDescent="0.25">
      <c r="A672" s="2">
        <v>4702921684</v>
      </c>
      <c r="B672" s="3">
        <v>42480</v>
      </c>
      <c r="C672" t="str">
        <f t="shared" si="51"/>
        <v>Wednesday</v>
      </c>
      <c r="D672" t="str">
        <f t="shared" si="53"/>
        <v>Weekday</v>
      </c>
      <c r="E672" s="2">
        <v>8793</v>
      </c>
      <c r="F672" s="2">
        <v>7.1300001139999996</v>
      </c>
      <c r="G672" s="2">
        <v>7.1300001139999996</v>
      </c>
      <c r="H672" s="2">
        <v>0</v>
      </c>
      <c r="I672" s="2">
        <v>0.15999999600000001</v>
      </c>
      <c r="J672" s="2">
        <v>1.230000019</v>
      </c>
      <c r="K672" s="2">
        <v>5.7300000190000002</v>
      </c>
      <c r="L672" s="2">
        <v>0</v>
      </c>
      <c r="M672" s="2">
        <v>2</v>
      </c>
      <c r="N672" s="2">
        <v>29</v>
      </c>
      <c r="O672" s="2">
        <v>260</v>
      </c>
      <c r="P672" s="2">
        <v>717</v>
      </c>
      <c r="Q672" s="2">
        <f t="shared" si="52"/>
        <v>291</v>
      </c>
      <c r="R672" s="2">
        <f t="shared" si="50"/>
        <v>1008</v>
      </c>
      <c r="S672" t="str">
        <f t="shared" si="54"/>
        <v>Fairly Active</v>
      </c>
      <c r="T672" s="2">
        <v>3061</v>
      </c>
    </row>
    <row r="673" spans="1:20" x14ac:dyDescent="0.25">
      <c r="A673" s="2">
        <v>4702921684</v>
      </c>
      <c r="B673" s="3">
        <v>42481</v>
      </c>
      <c r="C673" t="str">
        <f t="shared" si="51"/>
        <v>Thursday</v>
      </c>
      <c r="D673" t="str">
        <f t="shared" si="53"/>
        <v>Weekday</v>
      </c>
      <c r="E673" s="2">
        <v>6530</v>
      </c>
      <c r="F673" s="2">
        <v>5.3000001909999996</v>
      </c>
      <c r="G673" s="2">
        <v>5.3000001909999996</v>
      </c>
      <c r="H673" s="2">
        <v>0</v>
      </c>
      <c r="I673" s="2">
        <v>0.310000002</v>
      </c>
      <c r="J673" s="2">
        <v>2.0499999519999998</v>
      </c>
      <c r="K673" s="2">
        <v>2.9400000569999998</v>
      </c>
      <c r="L673" s="2">
        <v>0</v>
      </c>
      <c r="M673" s="2">
        <v>4</v>
      </c>
      <c r="N673" s="2">
        <v>41</v>
      </c>
      <c r="O673" s="2">
        <v>144</v>
      </c>
      <c r="P673" s="2">
        <v>901</v>
      </c>
      <c r="Q673" s="2">
        <f t="shared" si="52"/>
        <v>189</v>
      </c>
      <c r="R673" s="2">
        <f t="shared" si="50"/>
        <v>1090</v>
      </c>
      <c r="S673" t="str">
        <f t="shared" si="54"/>
        <v>Lightly Active</v>
      </c>
      <c r="T673" s="2">
        <v>2729</v>
      </c>
    </row>
    <row r="674" spans="1:20" x14ac:dyDescent="0.25">
      <c r="A674" s="2">
        <v>4702921684</v>
      </c>
      <c r="B674" s="3">
        <v>42482</v>
      </c>
      <c r="C674" t="str">
        <f t="shared" si="51"/>
        <v>Friday</v>
      </c>
      <c r="D674" t="str">
        <f t="shared" si="53"/>
        <v>Weekday</v>
      </c>
      <c r="E674" s="2">
        <v>1664</v>
      </c>
      <c r="F674" s="2">
        <v>1.3500000240000001</v>
      </c>
      <c r="G674" s="2">
        <v>1.3500000240000001</v>
      </c>
      <c r="H674" s="2">
        <v>0</v>
      </c>
      <c r="I674" s="2">
        <v>0</v>
      </c>
      <c r="J674" s="2">
        <v>0</v>
      </c>
      <c r="K674" s="2">
        <v>1.3500000240000001</v>
      </c>
      <c r="L674" s="2">
        <v>0</v>
      </c>
      <c r="M674" s="2">
        <v>0</v>
      </c>
      <c r="N674" s="2">
        <v>0</v>
      </c>
      <c r="O674" s="2">
        <v>72</v>
      </c>
      <c r="P674" s="2">
        <v>1341</v>
      </c>
      <c r="Q674" s="2">
        <f t="shared" si="52"/>
        <v>72</v>
      </c>
      <c r="R674" s="2">
        <f t="shared" si="50"/>
        <v>1413</v>
      </c>
      <c r="S674" t="str">
        <f t="shared" si="54"/>
        <v>Sedentary</v>
      </c>
      <c r="T674" s="2">
        <v>2241</v>
      </c>
    </row>
    <row r="675" spans="1:20" x14ac:dyDescent="0.25">
      <c r="A675" s="2">
        <v>4702921684</v>
      </c>
      <c r="B675" s="3">
        <v>42483</v>
      </c>
      <c r="C675" t="str">
        <f t="shared" si="51"/>
        <v>Saturday</v>
      </c>
      <c r="D675" t="str">
        <f t="shared" si="53"/>
        <v>Weekend</v>
      </c>
      <c r="E675" s="2">
        <v>15126</v>
      </c>
      <c r="F675" s="2">
        <v>12.27000046</v>
      </c>
      <c r="G675" s="2">
        <v>12.27000046</v>
      </c>
      <c r="H675" s="2">
        <v>0</v>
      </c>
      <c r="I675" s="2">
        <v>0.75999998999999996</v>
      </c>
      <c r="J675" s="2">
        <v>3.2400000100000002</v>
      </c>
      <c r="K675" s="2">
        <v>8.2700004580000002</v>
      </c>
      <c r="L675" s="2">
        <v>0</v>
      </c>
      <c r="M675" s="2">
        <v>9</v>
      </c>
      <c r="N675" s="2">
        <v>66</v>
      </c>
      <c r="O675" s="2">
        <v>408</v>
      </c>
      <c r="P675" s="2">
        <v>469</v>
      </c>
      <c r="Q675" s="2">
        <f t="shared" si="52"/>
        <v>483</v>
      </c>
      <c r="R675" s="2">
        <f t="shared" si="50"/>
        <v>952</v>
      </c>
      <c r="S675" t="str">
        <f t="shared" si="54"/>
        <v>Highly Active</v>
      </c>
      <c r="T675" s="2">
        <v>3691</v>
      </c>
    </row>
    <row r="676" spans="1:20" x14ac:dyDescent="0.25">
      <c r="A676" s="2">
        <v>4702921684</v>
      </c>
      <c r="B676" s="3">
        <v>42484</v>
      </c>
      <c r="C676" t="str">
        <f t="shared" si="51"/>
        <v>Sunday</v>
      </c>
      <c r="D676" t="str">
        <f t="shared" si="53"/>
        <v>Weekend</v>
      </c>
      <c r="E676" s="2">
        <v>15050</v>
      </c>
      <c r="F676" s="2">
        <v>12.22000027</v>
      </c>
      <c r="G676" s="2">
        <v>12.22000027</v>
      </c>
      <c r="H676" s="2">
        <v>0</v>
      </c>
      <c r="I676" s="2">
        <v>1.2000000479999999</v>
      </c>
      <c r="J676" s="2">
        <v>5.1199998860000004</v>
      </c>
      <c r="K676" s="2">
        <v>5.8800001139999996</v>
      </c>
      <c r="L676" s="2">
        <v>0</v>
      </c>
      <c r="M676" s="2">
        <v>15</v>
      </c>
      <c r="N676" s="2">
        <v>95</v>
      </c>
      <c r="O676" s="2">
        <v>281</v>
      </c>
      <c r="P676" s="2">
        <v>542</v>
      </c>
      <c r="Q676" s="2">
        <f t="shared" si="52"/>
        <v>391</v>
      </c>
      <c r="R676" s="2">
        <f t="shared" si="50"/>
        <v>933</v>
      </c>
      <c r="S676" t="str">
        <f t="shared" si="54"/>
        <v>Highly Active</v>
      </c>
      <c r="T676" s="2">
        <v>3538</v>
      </c>
    </row>
    <row r="677" spans="1:20" x14ac:dyDescent="0.25">
      <c r="A677" s="2">
        <v>4702921684</v>
      </c>
      <c r="B677" s="3">
        <v>42485</v>
      </c>
      <c r="C677" t="str">
        <f t="shared" si="51"/>
        <v>Monday</v>
      </c>
      <c r="D677" t="str">
        <f t="shared" si="53"/>
        <v>Weekday</v>
      </c>
      <c r="E677" s="2">
        <v>9167</v>
      </c>
      <c r="F677" s="2">
        <v>7.4299998279999997</v>
      </c>
      <c r="G677" s="2">
        <v>7.4299998279999997</v>
      </c>
      <c r="H677" s="2">
        <v>0</v>
      </c>
      <c r="I677" s="2">
        <v>0.49000000999999999</v>
      </c>
      <c r="J677" s="2">
        <v>0.81999999300000004</v>
      </c>
      <c r="K677" s="2">
        <v>6.1100001339999999</v>
      </c>
      <c r="L677" s="2">
        <v>0</v>
      </c>
      <c r="M677" s="2">
        <v>6</v>
      </c>
      <c r="N677" s="2">
        <v>15</v>
      </c>
      <c r="O677" s="2">
        <v>270</v>
      </c>
      <c r="P677" s="2">
        <v>730</v>
      </c>
      <c r="Q677" s="2">
        <f t="shared" si="52"/>
        <v>291</v>
      </c>
      <c r="R677" s="2">
        <f t="shared" si="50"/>
        <v>1021</v>
      </c>
      <c r="S677" t="str">
        <f t="shared" si="54"/>
        <v>Fairly Active</v>
      </c>
      <c r="T677" s="2">
        <v>3064</v>
      </c>
    </row>
    <row r="678" spans="1:20" x14ac:dyDescent="0.25">
      <c r="A678" s="2">
        <v>4702921684</v>
      </c>
      <c r="B678" s="3">
        <v>42486</v>
      </c>
      <c r="C678" t="str">
        <f t="shared" si="51"/>
        <v>Tuesday</v>
      </c>
      <c r="D678" t="str">
        <f t="shared" si="53"/>
        <v>Weekday</v>
      </c>
      <c r="E678" s="2">
        <v>6108</v>
      </c>
      <c r="F678" s="2">
        <v>4.9499998090000004</v>
      </c>
      <c r="G678" s="2">
        <v>4.9499998090000004</v>
      </c>
      <c r="H678" s="2">
        <v>0</v>
      </c>
      <c r="I678" s="2">
        <v>7.0000000000000007E-2</v>
      </c>
      <c r="J678" s="2">
        <v>0.34999999399999998</v>
      </c>
      <c r="K678" s="2">
        <v>4.5399999619999996</v>
      </c>
      <c r="L678" s="2">
        <v>0</v>
      </c>
      <c r="M678" s="2">
        <v>1</v>
      </c>
      <c r="N678" s="2">
        <v>8</v>
      </c>
      <c r="O678" s="2">
        <v>216</v>
      </c>
      <c r="P678" s="2">
        <v>765</v>
      </c>
      <c r="Q678" s="2">
        <f t="shared" si="52"/>
        <v>225</v>
      </c>
      <c r="R678" s="2">
        <f t="shared" ref="R678:R736" si="55">SUM(M678:P678)</f>
        <v>990</v>
      </c>
      <c r="S678" t="str">
        <f t="shared" si="54"/>
        <v>Lightly Active</v>
      </c>
      <c r="T678" s="2">
        <v>2784</v>
      </c>
    </row>
    <row r="679" spans="1:20" x14ac:dyDescent="0.25">
      <c r="A679" s="2">
        <v>4702921684</v>
      </c>
      <c r="B679" s="3">
        <v>42487</v>
      </c>
      <c r="C679" t="str">
        <f t="shared" si="51"/>
        <v>Wednesday</v>
      </c>
      <c r="D679" t="str">
        <f t="shared" si="53"/>
        <v>Weekday</v>
      </c>
      <c r="E679" s="2">
        <v>7047</v>
      </c>
      <c r="F679" s="2">
        <v>5.7199997900000001</v>
      </c>
      <c r="G679" s="2">
        <v>5.7199997900000001</v>
      </c>
      <c r="H679" s="2">
        <v>0</v>
      </c>
      <c r="I679" s="2">
        <v>9.0000003999999995E-2</v>
      </c>
      <c r="J679" s="2">
        <v>0.80000001200000004</v>
      </c>
      <c r="K679" s="2">
        <v>4.7800002099999999</v>
      </c>
      <c r="L679" s="2">
        <v>0</v>
      </c>
      <c r="M679" s="2">
        <v>1</v>
      </c>
      <c r="N679" s="2">
        <v>16</v>
      </c>
      <c r="O679" s="2">
        <v>238</v>
      </c>
      <c r="P679" s="2">
        <v>733</v>
      </c>
      <c r="Q679" s="2">
        <f t="shared" si="52"/>
        <v>255</v>
      </c>
      <c r="R679" s="2">
        <f t="shared" si="55"/>
        <v>988</v>
      </c>
      <c r="S679" t="str">
        <f t="shared" si="54"/>
        <v>Lightly Active</v>
      </c>
      <c r="T679" s="2">
        <v>2908</v>
      </c>
    </row>
    <row r="680" spans="1:20" x14ac:dyDescent="0.25">
      <c r="A680" s="2">
        <v>4702921684</v>
      </c>
      <c r="B680" s="3">
        <v>42488</v>
      </c>
      <c r="C680" t="str">
        <f t="shared" si="51"/>
        <v>Thursday</v>
      </c>
      <c r="D680" t="str">
        <f t="shared" si="53"/>
        <v>Weekday</v>
      </c>
      <c r="E680" s="2">
        <v>9023</v>
      </c>
      <c r="F680" s="2">
        <v>7.3200001720000003</v>
      </c>
      <c r="G680" s="2">
        <v>7.3200001720000003</v>
      </c>
      <c r="H680" s="2">
        <v>0</v>
      </c>
      <c r="I680" s="2">
        <v>1.1299999949999999</v>
      </c>
      <c r="J680" s="2">
        <v>0.41999998700000002</v>
      </c>
      <c r="K680" s="2">
        <v>5.7699999809999998</v>
      </c>
      <c r="L680" s="2">
        <v>0</v>
      </c>
      <c r="M680" s="2">
        <v>14</v>
      </c>
      <c r="N680" s="2">
        <v>9</v>
      </c>
      <c r="O680" s="2">
        <v>232</v>
      </c>
      <c r="P680" s="2">
        <v>738</v>
      </c>
      <c r="Q680" s="2">
        <f t="shared" si="52"/>
        <v>255</v>
      </c>
      <c r="R680" s="2">
        <f t="shared" si="55"/>
        <v>993</v>
      </c>
      <c r="S680" t="str">
        <f t="shared" si="54"/>
        <v>Fairly Active</v>
      </c>
      <c r="T680" s="2">
        <v>3033</v>
      </c>
    </row>
    <row r="681" spans="1:20" x14ac:dyDescent="0.25">
      <c r="A681" s="2">
        <v>4702921684</v>
      </c>
      <c r="B681" s="3">
        <v>42489</v>
      </c>
      <c r="C681" t="str">
        <f t="shared" si="51"/>
        <v>Friday</v>
      </c>
      <c r="D681" t="str">
        <f t="shared" si="53"/>
        <v>Weekday</v>
      </c>
      <c r="E681" s="2">
        <v>9930</v>
      </c>
      <c r="F681" s="2">
        <v>8.0500001910000005</v>
      </c>
      <c r="G681" s="2">
        <v>8.0500001910000005</v>
      </c>
      <c r="H681" s="2">
        <v>0</v>
      </c>
      <c r="I681" s="2">
        <v>1.059999943</v>
      </c>
      <c r="J681" s="2">
        <v>0.920000017</v>
      </c>
      <c r="K681" s="2">
        <v>6.0700001720000003</v>
      </c>
      <c r="L681" s="2">
        <v>0</v>
      </c>
      <c r="M681" s="2">
        <v>12</v>
      </c>
      <c r="N681" s="2">
        <v>19</v>
      </c>
      <c r="O681" s="2">
        <v>267</v>
      </c>
      <c r="P681" s="2">
        <v>692</v>
      </c>
      <c r="Q681" s="2">
        <f t="shared" si="52"/>
        <v>298</v>
      </c>
      <c r="R681" s="2">
        <f t="shared" si="55"/>
        <v>990</v>
      </c>
      <c r="S681" t="str">
        <f t="shared" si="54"/>
        <v>Fairly Active</v>
      </c>
      <c r="T681" s="2">
        <v>3165</v>
      </c>
    </row>
    <row r="682" spans="1:20" x14ac:dyDescent="0.25">
      <c r="A682" s="2">
        <v>4702921684</v>
      </c>
      <c r="B682" s="3">
        <v>42490</v>
      </c>
      <c r="C682" t="str">
        <f t="shared" si="51"/>
        <v>Saturday</v>
      </c>
      <c r="D682" t="str">
        <f t="shared" si="53"/>
        <v>Weekend</v>
      </c>
      <c r="E682" s="2">
        <v>10144</v>
      </c>
      <c r="F682" s="2">
        <v>8.2299995419999998</v>
      </c>
      <c r="G682" s="2">
        <v>8.2299995419999998</v>
      </c>
      <c r="H682" s="2">
        <v>0</v>
      </c>
      <c r="I682" s="2">
        <v>0.31999999299999998</v>
      </c>
      <c r="J682" s="2">
        <v>2.0299999710000001</v>
      </c>
      <c r="K682" s="2">
        <v>5.8800001139999996</v>
      </c>
      <c r="L682" s="2">
        <v>0</v>
      </c>
      <c r="M682" s="2">
        <v>4</v>
      </c>
      <c r="N682" s="2">
        <v>36</v>
      </c>
      <c r="O682" s="2">
        <v>263</v>
      </c>
      <c r="P682" s="2">
        <v>728</v>
      </c>
      <c r="Q682" s="2">
        <f t="shared" si="52"/>
        <v>303</v>
      </c>
      <c r="R682" s="2">
        <f t="shared" si="55"/>
        <v>1031</v>
      </c>
      <c r="S682" t="str">
        <f t="shared" si="54"/>
        <v>Highly Active</v>
      </c>
      <c r="T682" s="2">
        <v>3115</v>
      </c>
    </row>
    <row r="683" spans="1:20" x14ac:dyDescent="0.25">
      <c r="A683" s="2">
        <v>4702921684</v>
      </c>
      <c r="B683" s="3">
        <v>42492</v>
      </c>
      <c r="C683" t="str">
        <f t="shared" ref="C683:C740" si="56">CHOOSE(WEEKDAY(B683), "Sunday", "Monday", "Tuesday", "Wednesday", "Thursday", "Friday", "Saturday")</f>
        <v>Monday</v>
      </c>
      <c r="D683" t="str">
        <f t="shared" si="53"/>
        <v>Weekday</v>
      </c>
      <c r="E683" s="2">
        <v>7245</v>
      </c>
      <c r="F683" s="2">
        <v>5.920000076</v>
      </c>
      <c r="G683" s="2">
        <v>5.920000076</v>
      </c>
      <c r="H683" s="2">
        <v>0</v>
      </c>
      <c r="I683" s="2">
        <v>0.37999999499999998</v>
      </c>
      <c r="J683" s="2">
        <v>1.7400000099999999</v>
      </c>
      <c r="K683" s="2">
        <v>3.7599999899999998</v>
      </c>
      <c r="L683" s="2">
        <v>0</v>
      </c>
      <c r="M683" s="2">
        <v>5</v>
      </c>
      <c r="N683" s="2">
        <v>40</v>
      </c>
      <c r="O683" s="2">
        <v>195</v>
      </c>
      <c r="P683" s="2">
        <v>1131</v>
      </c>
      <c r="Q683" s="2">
        <f t="shared" ref="Q683:Q740" si="57">SUM(M683:O683)</f>
        <v>240</v>
      </c>
      <c r="R683" s="2">
        <f t="shared" si="55"/>
        <v>1371</v>
      </c>
      <c r="S683" t="str">
        <f t="shared" si="54"/>
        <v>Lightly Active</v>
      </c>
      <c r="T683" s="2">
        <v>2859</v>
      </c>
    </row>
    <row r="684" spans="1:20" x14ac:dyDescent="0.25">
      <c r="A684" s="2">
        <v>4702921684</v>
      </c>
      <c r="B684" s="3">
        <v>42493</v>
      </c>
      <c r="C684" t="str">
        <f t="shared" si="56"/>
        <v>Tuesday</v>
      </c>
      <c r="D684" t="str">
        <f t="shared" si="53"/>
        <v>Weekday</v>
      </c>
      <c r="E684" s="2">
        <v>9454</v>
      </c>
      <c r="F684" s="2">
        <v>7.670000076</v>
      </c>
      <c r="G684" s="2">
        <v>7.670000076</v>
      </c>
      <c r="H684" s="2">
        <v>0</v>
      </c>
      <c r="I684" s="2">
        <v>0</v>
      </c>
      <c r="J684" s="2">
        <v>0</v>
      </c>
      <c r="K684" s="2">
        <v>7.670000076</v>
      </c>
      <c r="L684" s="2">
        <v>0</v>
      </c>
      <c r="M684" s="2">
        <v>0</v>
      </c>
      <c r="N684" s="2">
        <v>0</v>
      </c>
      <c r="O684" s="2">
        <v>313</v>
      </c>
      <c r="P684" s="2">
        <v>729</v>
      </c>
      <c r="Q684" s="2">
        <f t="shared" si="57"/>
        <v>313</v>
      </c>
      <c r="R684" s="2">
        <f t="shared" si="55"/>
        <v>1042</v>
      </c>
      <c r="S684" t="str">
        <f t="shared" si="54"/>
        <v>Fairly Active</v>
      </c>
      <c r="T684" s="2">
        <v>3145</v>
      </c>
    </row>
    <row r="685" spans="1:20" x14ac:dyDescent="0.25">
      <c r="A685" s="2">
        <v>4702921684</v>
      </c>
      <c r="B685" s="3">
        <v>42494</v>
      </c>
      <c r="C685" t="str">
        <f t="shared" si="56"/>
        <v>Wednesday</v>
      </c>
      <c r="D685" t="str">
        <f t="shared" si="53"/>
        <v>Weekday</v>
      </c>
      <c r="E685" s="2">
        <v>8161</v>
      </c>
      <c r="F685" s="2">
        <v>6.6199998860000004</v>
      </c>
      <c r="G685" s="2">
        <v>6.6199998860000004</v>
      </c>
      <c r="H685" s="2">
        <v>0</v>
      </c>
      <c r="I685" s="2">
        <v>0.34000000400000002</v>
      </c>
      <c r="J685" s="2">
        <v>0.730000019</v>
      </c>
      <c r="K685" s="2">
        <v>5.5399999619999996</v>
      </c>
      <c r="L685" s="2">
        <v>0</v>
      </c>
      <c r="M685" s="2">
        <v>4</v>
      </c>
      <c r="N685" s="2">
        <v>15</v>
      </c>
      <c r="O685" s="2">
        <v>251</v>
      </c>
      <c r="P685" s="2">
        <v>757</v>
      </c>
      <c r="Q685" s="2">
        <f t="shared" si="57"/>
        <v>270</v>
      </c>
      <c r="R685" s="2">
        <f t="shared" si="55"/>
        <v>1027</v>
      </c>
      <c r="S685" t="str">
        <f t="shared" si="54"/>
        <v>Fairly Active</v>
      </c>
      <c r="T685" s="2">
        <v>3004</v>
      </c>
    </row>
    <row r="686" spans="1:20" x14ac:dyDescent="0.25">
      <c r="A686" s="2">
        <v>4702921684</v>
      </c>
      <c r="B686" s="3">
        <v>42495</v>
      </c>
      <c r="C686" t="str">
        <f t="shared" si="56"/>
        <v>Thursday</v>
      </c>
      <c r="D686" t="str">
        <f t="shared" si="53"/>
        <v>Weekday</v>
      </c>
      <c r="E686" s="2">
        <v>8614</v>
      </c>
      <c r="F686" s="2">
        <v>6.9899997709999999</v>
      </c>
      <c r="G686" s="2">
        <v>6.9899997709999999</v>
      </c>
      <c r="H686" s="2">
        <v>0</v>
      </c>
      <c r="I686" s="2">
        <v>0.670000017</v>
      </c>
      <c r="J686" s="2">
        <v>0.219999999</v>
      </c>
      <c r="K686" s="2">
        <v>6.0900001530000001</v>
      </c>
      <c r="L686" s="2">
        <v>0</v>
      </c>
      <c r="M686" s="2">
        <v>8</v>
      </c>
      <c r="N686" s="2">
        <v>5</v>
      </c>
      <c r="O686" s="2">
        <v>241</v>
      </c>
      <c r="P686" s="2">
        <v>745</v>
      </c>
      <c r="Q686" s="2">
        <f t="shared" si="57"/>
        <v>254</v>
      </c>
      <c r="R686" s="2">
        <f t="shared" si="55"/>
        <v>999</v>
      </c>
      <c r="S686" t="str">
        <f t="shared" si="54"/>
        <v>Fairly Active</v>
      </c>
      <c r="T686" s="2">
        <v>3006</v>
      </c>
    </row>
    <row r="687" spans="1:20" x14ac:dyDescent="0.25">
      <c r="A687" s="2">
        <v>4702921684</v>
      </c>
      <c r="B687" s="3">
        <v>42496</v>
      </c>
      <c r="C687" t="str">
        <f t="shared" si="56"/>
        <v>Friday</v>
      </c>
      <c r="D687" t="str">
        <f t="shared" si="53"/>
        <v>Weekday</v>
      </c>
      <c r="E687" s="2">
        <v>6943</v>
      </c>
      <c r="F687" s="2">
        <v>5.6300001139999996</v>
      </c>
      <c r="G687" s="2">
        <v>5.6300001139999996</v>
      </c>
      <c r="H687" s="2">
        <v>0</v>
      </c>
      <c r="I687" s="2">
        <v>7.9999998000000003E-2</v>
      </c>
      <c r="J687" s="2">
        <v>0.66000002599999996</v>
      </c>
      <c r="K687" s="2">
        <v>4.8699998860000004</v>
      </c>
      <c r="L687" s="2">
        <v>0</v>
      </c>
      <c r="M687" s="2">
        <v>1</v>
      </c>
      <c r="N687" s="2">
        <v>16</v>
      </c>
      <c r="O687" s="2">
        <v>207</v>
      </c>
      <c r="P687" s="2">
        <v>682</v>
      </c>
      <c r="Q687" s="2">
        <f t="shared" si="57"/>
        <v>224</v>
      </c>
      <c r="R687" s="2">
        <f t="shared" si="55"/>
        <v>906</v>
      </c>
      <c r="S687" t="str">
        <f t="shared" si="54"/>
        <v>Lightly Active</v>
      </c>
      <c r="T687" s="2">
        <v>2859</v>
      </c>
    </row>
    <row r="688" spans="1:20" x14ac:dyDescent="0.25">
      <c r="A688" s="2">
        <v>4702921684</v>
      </c>
      <c r="B688" s="3">
        <v>42497</v>
      </c>
      <c r="C688" t="str">
        <f t="shared" si="56"/>
        <v>Saturday</v>
      </c>
      <c r="D688" t="str">
        <f t="shared" si="53"/>
        <v>Weekend</v>
      </c>
      <c r="E688" s="2">
        <v>14370</v>
      </c>
      <c r="F688" s="2">
        <v>11.649999619999999</v>
      </c>
      <c r="G688" s="2">
        <v>11.649999619999999</v>
      </c>
      <c r="H688" s="2">
        <v>0</v>
      </c>
      <c r="I688" s="2">
        <v>0.37000000500000002</v>
      </c>
      <c r="J688" s="2">
        <v>2.3099999430000002</v>
      </c>
      <c r="K688" s="2">
        <v>8.9700002669999996</v>
      </c>
      <c r="L688" s="2">
        <v>0</v>
      </c>
      <c r="M688" s="2">
        <v>5</v>
      </c>
      <c r="N688" s="2">
        <v>46</v>
      </c>
      <c r="O688" s="2">
        <v>439</v>
      </c>
      <c r="P688" s="2">
        <v>577</v>
      </c>
      <c r="Q688" s="2">
        <f t="shared" si="57"/>
        <v>490</v>
      </c>
      <c r="R688" s="2">
        <f t="shared" si="55"/>
        <v>1067</v>
      </c>
      <c r="S688" t="str">
        <f t="shared" si="54"/>
        <v>Highly Active</v>
      </c>
      <c r="T688" s="2">
        <v>3683</v>
      </c>
    </row>
    <row r="689" spans="1:20" x14ac:dyDescent="0.25">
      <c r="A689" s="2">
        <v>4702921684</v>
      </c>
      <c r="B689" s="3">
        <v>42498</v>
      </c>
      <c r="C689" t="str">
        <f t="shared" si="56"/>
        <v>Sunday</v>
      </c>
      <c r="D689" t="str">
        <f t="shared" si="53"/>
        <v>Weekend</v>
      </c>
      <c r="E689" s="2">
        <v>12857</v>
      </c>
      <c r="F689" s="2">
        <v>10.43000031</v>
      </c>
      <c r="G689" s="2">
        <v>10.43000031</v>
      </c>
      <c r="H689" s="2">
        <v>0</v>
      </c>
      <c r="I689" s="2">
        <v>0.68000000699999996</v>
      </c>
      <c r="J689" s="2">
        <v>6.2100000380000004</v>
      </c>
      <c r="K689" s="2">
        <v>3.539999962</v>
      </c>
      <c r="L689" s="2">
        <v>0</v>
      </c>
      <c r="M689" s="2">
        <v>9</v>
      </c>
      <c r="N689" s="2">
        <v>125</v>
      </c>
      <c r="O689" s="2">
        <v>192</v>
      </c>
      <c r="P689" s="2">
        <v>1019</v>
      </c>
      <c r="Q689" s="2">
        <f t="shared" si="57"/>
        <v>326</v>
      </c>
      <c r="R689" s="2">
        <f t="shared" si="55"/>
        <v>1345</v>
      </c>
      <c r="S689" t="str">
        <f t="shared" si="54"/>
        <v>Highly Active</v>
      </c>
      <c r="T689" s="2">
        <v>3287</v>
      </c>
    </row>
    <row r="690" spans="1:20" x14ac:dyDescent="0.25">
      <c r="A690" s="2">
        <v>4702921684</v>
      </c>
      <c r="B690" s="3">
        <v>42499</v>
      </c>
      <c r="C690" t="str">
        <f t="shared" si="56"/>
        <v>Monday</v>
      </c>
      <c r="D690" t="str">
        <f t="shared" si="53"/>
        <v>Weekday</v>
      </c>
      <c r="E690" s="2">
        <v>8232</v>
      </c>
      <c r="F690" s="2">
        <v>6.6799998279999997</v>
      </c>
      <c r="G690" s="2">
        <v>6.6799998279999997</v>
      </c>
      <c r="H690" s="2">
        <v>0</v>
      </c>
      <c r="I690" s="2">
        <v>0</v>
      </c>
      <c r="J690" s="2">
        <v>0.56999999300000004</v>
      </c>
      <c r="K690" s="2">
        <v>6.0999999049999998</v>
      </c>
      <c r="L690" s="2">
        <v>0</v>
      </c>
      <c r="M690" s="2">
        <v>0</v>
      </c>
      <c r="N690" s="2">
        <v>12</v>
      </c>
      <c r="O690" s="2">
        <v>253</v>
      </c>
      <c r="P690" s="2">
        <v>746</v>
      </c>
      <c r="Q690" s="2">
        <f t="shared" si="57"/>
        <v>265</v>
      </c>
      <c r="R690" s="2">
        <f t="shared" si="55"/>
        <v>1011</v>
      </c>
      <c r="S690" t="str">
        <f t="shared" si="54"/>
        <v>Fairly Active</v>
      </c>
      <c r="T690" s="2">
        <v>2990</v>
      </c>
    </row>
    <row r="691" spans="1:20" x14ac:dyDescent="0.25">
      <c r="A691" s="2">
        <v>4702921684</v>
      </c>
      <c r="B691" s="3">
        <v>42500</v>
      </c>
      <c r="C691" t="str">
        <f t="shared" si="56"/>
        <v>Tuesday</v>
      </c>
      <c r="D691" t="str">
        <f t="shared" si="53"/>
        <v>Weekday</v>
      </c>
      <c r="E691" s="2">
        <v>10613</v>
      </c>
      <c r="F691" s="2">
        <v>8.6099996569999995</v>
      </c>
      <c r="G691" s="2">
        <v>8.6099996569999995</v>
      </c>
      <c r="H691" s="2">
        <v>0</v>
      </c>
      <c r="I691" s="2">
        <v>7.9999998000000003E-2</v>
      </c>
      <c r="J691" s="2">
        <v>1.8799999949999999</v>
      </c>
      <c r="K691" s="2">
        <v>6.6500000950000002</v>
      </c>
      <c r="L691" s="2">
        <v>0</v>
      </c>
      <c r="M691" s="2">
        <v>1</v>
      </c>
      <c r="N691" s="2">
        <v>37</v>
      </c>
      <c r="O691" s="2">
        <v>262</v>
      </c>
      <c r="P691" s="2">
        <v>701</v>
      </c>
      <c r="Q691" s="2">
        <f t="shared" si="57"/>
        <v>300</v>
      </c>
      <c r="R691" s="2">
        <f t="shared" si="55"/>
        <v>1001</v>
      </c>
      <c r="S691" t="str">
        <f t="shared" si="54"/>
        <v>Highly Active</v>
      </c>
      <c r="T691" s="2">
        <v>3172</v>
      </c>
    </row>
    <row r="692" spans="1:20" x14ac:dyDescent="0.25">
      <c r="A692" s="2">
        <v>4702921684</v>
      </c>
      <c r="B692" s="3">
        <v>42501</v>
      </c>
      <c r="C692" t="str">
        <f t="shared" si="56"/>
        <v>Wednesday</v>
      </c>
      <c r="D692" t="str">
        <f t="shared" si="53"/>
        <v>Weekday</v>
      </c>
      <c r="E692" s="2">
        <v>9810</v>
      </c>
      <c r="F692" s="2">
        <v>7.9600000380000004</v>
      </c>
      <c r="G692" s="2">
        <v>7.9600000380000004</v>
      </c>
      <c r="H692" s="2">
        <v>0</v>
      </c>
      <c r="I692" s="2">
        <v>0.77999997099999996</v>
      </c>
      <c r="J692" s="2">
        <v>2.1600000860000002</v>
      </c>
      <c r="K692" s="2">
        <v>4.9800000190000002</v>
      </c>
      <c r="L692" s="2">
        <v>0</v>
      </c>
      <c r="M692" s="2">
        <v>10</v>
      </c>
      <c r="N692" s="2">
        <v>41</v>
      </c>
      <c r="O692" s="2">
        <v>235</v>
      </c>
      <c r="P692" s="2">
        <v>784</v>
      </c>
      <c r="Q692" s="2">
        <f t="shared" si="57"/>
        <v>286</v>
      </c>
      <c r="R692" s="2">
        <f t="shared" si="55"/>
        <v>1070</v>
      </c>
      <c r="S692" t="str">
        <f t="shared" si="54"/>
        <v>Fairly Active</v>
      </c>
      <c r="T692" s="2">
        <v>3069</v>
      </c>
    </row>
    <row r="693" spans="1:20" x14ac:dyDescent="0.25">
      <c r="A693" s="2">
        <v>5553957443</v>
      </c>
      <c r="B693" s="3">
        <v>42461</v>
      </c>
      <c r="C693" t="str">
        <f t="shared" si="56"/>
        <v>Friday</v>
      </c>
      <c r="D693" t="str">
        <f t="shared" si="53"/>
        <v>Weekday</v>
      </c>
      <c r="E693" s="2">
        <v>12409</v>
      </c>
      <c r="F693" s="2">
        <v>8.1000003809999992</v>
      </c>
      <c r="G693" s="2">
        <v>8.1000003809999992</v>
      </c>
      <c r="H693" s="2">
        <v>0</v>
      </c>
      <c r="I693" s="2">
        <v>2.9000000950000002</v>
      </c>
      <c r="J693" s="2">
        <v>0.62999999500000003</v>
      </c>
      <c r="K693" s="2">
        <v>4.579999924</v>
      </c>
      <c r="L693" s="2">
        <v>0</v>
      </c>
      <c r="M693" s="2">
        <v>51</v>
      </c>
      <c r="N693" s="2">
        <v>12</v>
      </c>
      <c r="O693" s="2">
        <v>235</v>
      </c>
      <c r="P693" s="2">
        <v>782</v>
      </c>
      <c r="Q693" s="2">
        <f t="shared" si="57"/>
        <v>298</v>
      </c>
      <c r="R693" s="2">
        <f t="shared" si="55"/>
        <v>1080</v>
      </c>
      <c r="S693" t="str">
        <f t="shared" si="54"/>
        <v>Highly Active</v>
      </c>
      <c r="T693" s="2">
        <v>2142</v>
      </c>
    </row>
    <row r="694" spans="1:20" x14ac:dyDescent="0.25">
      <c r="A694" s="2">
        <v>5553957443</v>
      </c>
      <c r="B694" s="3">
        <v>42463</v>
      </c>
      <c r="C694" t="str">
        <f t="shared" si="56"/>
        <v>Sunday</v>
      </c>
      <c r="D694" t="str">
        <f t="shared" si="53"/>
        <v>Weekend</v>
      </c>
      <c r="E694" s="2">
        <v>1515</v>
      </c>
      <c r="F694" s="2">
        <v>0.99000001000000004</v>
      </c>
      <c r="G694" s="2">
        <v>0.99000001000000004</v>
      </c>
      <c r="H694" s="2">
        <v>0</v>
      </c>
      <c r="I694" s="2">
        <v>0</v>
      </c>
      <c r="J694" s="2">
        <v>0</v>
      </c>
      <c r="K694" s="2">
        <v>0.99000001000000004</v>
      </c>
      <c r="L694" s="2">
        <v>0</v>
      </c>
      <c r="M694" s="2">
        <v>0</v>
      </c>
      <c r="N694" s="2">
        <v>0</v>
      </c>
      <c r="O694" s="2">
        <v>93</v>
      </c>
      <c r="P694" s="2">
        <v>507</v>
      </c>
      <c r="Q694" s="2">
        <f t="shared" si="57"/>
        <v>93</v>
      </c>
      <c r="R694" s="2">
        <f t="shared" si="55"/>
        <v>600</v>
      </c>
      <c r="S694" t="str">
        <f t="shared" si="54"/>
        <v>Sedentary</v>
      </c>
      <c r="T694" s="2">
        <v>1481</v>
      </c>
    </row>
    <row r="695" spans="1:20" x14ac:dyDescent="0.25">
      <c r="A695" s="2">
        <v>5553957443</v>
      </c>
      <c r="B695" s="3">
        <v>42464</v>
      </c>
      <c r="C695" t="str">
        <f t="shared" si="56"/>
        <v>Monday</v>
      </c>
      <c r="D695" t="str">
        <f t="shared" si="53"/>
        <v>Weekday</v>
      </c>
      <c r="E695" s="2">
        <v>8921</v>
      </c>
      <c r="F695" s="2">
        <v>5.8800001139999996</v>
      </c>
      <c r="G695" s="2">
        <v>5.8800001139999996</v>
      </c>
      <c r="H695" s="2">
        <v>0</v>
      </c>
      <c r="I695" s="2">
        <v>2.0699999330000001</v>
      </c>
      <c r="J695" s="2">
        <v>0.439999998</v>
      </c>
      <c r="K695" s="2">
        <v>3.3599998950000001</v>
      </c>
      <c r="L695" s="2">
        <v>0</v>
      </c>
      <c r="M695" s="2">
        <v>27</v>
      </c>
      <c r="N695" s="2">
        <v>8</v>
      </c>
      <c r="O695" s="2">
        <v>198</v>
      </c>
      <c r="P695" s="2">
        <v>754</v>
      </c>
      <c r="Q695" s="2">
        <f t="shared" si="57"/>
        <v>233</v>
      </c>
      <c r="R695" s="2">
        <f t="shared" si="55"/>
        <v>987</v>
      </c>
      <c r="S695" t="str">
        <f t="shared" si="54"/>
        <v>Fairly Active</v>
      </c>
      <c r="T695" s="2">
        <v>1892</v>
      </c>
    </row>
    <row r="696" spans="1:20" x14ac:dyDescent="0.25">
      <c r="A696" s="2">
        <v>5553957443</v>
      </c>
      <c r="B696" s="3">
        <v>42465</v>
      </c>
      <c r="C696" t="str">
        <f t="shared" si="56"/>
        <v>Tuesday</v>
      </c>
      <c r="D696" t="str">
        <f t="shared" si="53"/>
        <v>Weekday</v>
      </c>
      <c r="E696" s="2">
        <v>11306</v>
      </c>
      <c r="F696" s="2">
        <v>7.3800001139999996</v>
      </c>
      <c r="G696" s="2">
        <v>7.3800001139999996</v>
      </c>
      <c r="H696" s="2">
        <v>0</v>
      </c>
      <c r="I696" s="2">
        <v>2.3099999430000002</v>
      </c>
      <c r="J696" s="2">
        <v>0.980000019</v>
      </c>
      <c r="K696" s="2">
        <v>4.0900001530000001</v>
      </c>
      <c r="L696" s="2">
        <v>0</v>
      </c>
      <c r="M696" s="2">
        <v>40</v>
      </c>
      <c r="N696" s="2">
        <v>26</v>
      </c>
      <c r="O696" s="2">
        <v>218</v>
      </c>
      <c r="P696" s="2">
        <v>772</v>
      </c>
      <c r="Q696" s="2">
        <f t="shared" si="57"/>
        <v>284</v>
      </c>
      <c r="R696" s="2">
        <f t="shared" si="55"/>
        <v>1056</v>
      </c>
      <c r="S696" t="str">
        <f t="shared" si="54"/>
        <v>Highly Active</v>
      </c>
      <c r="T696" s="2">
        <v>2086</v>
      </c>
    </row>
    <row r="697" spans="1:20" x14ac:dyDescent="0.25">
      <c r="A697" s="2">
        <v>5553957443</v>
      </c>
      <c r="B697" s="3">
        <v>42466</v>
      </c>
      <c r="C697" t="str">
        <f t="shared" si="56"/>
        <v>Wednesday</v>
      </c>
      <c r="D697" t="str">
        <f t="shared" si="53"/>
        <v>Weekday</v>
      </c>
      <c r="E697" s="2">
        <v>12252</v>
      </c>
      <c r="F697" s="2">
        <v>8</v>
      </c>
      <c r="G697" s="2">
        <v>8</v>
      </c>
      <c r="H697" s="2">
        <v>0</v>
      </c>
      <c r="I697" s="2">
        <v>2.4100000860000002</v>
      </c>
      <c r="J697" s="2">
        <v>1.7000000479999999</v>
      </c>
      <c r="K697" s="2">
        <v>3.8900001049999999</v>
      </c>
      <c r="L697" s="2">
        <v>0</v>
      </c>
      <c r="M697" s="2">
        <v>33</v>
      </c>
      <c r="N697" s="2">
        <v>28</v>
      </c>
      <c r="O697" s="2">
        <v>229</v>
      </c>
      <c r="P697" s="2">
        <v>745</v>
      </c>
      <c r="Q697" s="2">
        <f t="shared" si="57"/>
        <v>290</v>
      </c>
      <c r="R697" s="2">
        <f t="shared" si="55"/>
        <v>1035</v>
      </c>
      <c r="S697" t="str">
        <f t="shared" si="54"/>
        <v>Highly Active</v>
      </c>
      <c r="T697" s="2">
        <v>2044</v>
      </c>
    </row>
    <row r="698" spans="1:20" x14ac:dyDescent="0.25">
      <c r="A698" s="2">
        <v>5553957443</v>
      </c>
      <c r="B698" s="3">
        <v>42467</v>
      </c>
      <c r="C698" t="str">
        <f t="shared" si="56"/>
        <v>Thursday</v>
      </c>
      <c r="D698" t="str">
        <f t="shared" si="53"/>
        <v>Weekday</v>
      </c>
      <c r="E698" s="2">
        <v>15444</v>
      </c>
      <c r="F698" s="2">
        <v>10.079999920000001</v>
      </c>
      <c r="G698" s="2">
        <v>10.079999920000001</v>
      </c>
      <c r="H698" s="2">
        <v>0</v>
      </c>
      <c r="I698" s="2">
        <v>3.2699999809999998</v>
      </c>
      <c r="J698" s="2">
        <v>1.730000019</v>
      </c>
      <c r="K698" s="2">
        <v>5.079999924</v>
      </c>
      <c r="L698" s="2">
        <v>0</v>
      </c>
      <c r="M698" s="2">
        <v>51</v>
      </c>
      <c r="N698" s="2">
        <v>39</v>
      </c>
      <c r="O698" s="2">
        <v>243</v>
      </c>
      <c r="P698" s="2">
        <v>731</v>
      </c>
      <c r="Q698" s="2">
        <f t="shared" si="57"/>
        <v>333</v>
      </c>
      <c r="R698" s="2">
        <f t="shared" si="55"/>
        <v>1064</v>
      </c>
      <c r="S698" t="str">
        <f t="shared" si="54"/>
        <v>Highly Active</v>
      </c>
      <c r="T698" s="2">
        <v>2249</v>
      </c>
    </row>
    <row r="699" spans="1:20" x14ac:dyDescent="0.25">
      <c r="A699" s="2">
        <v>5553957443</v>
      </c>
      <c r="B699" s="3">
        <v>42468</v>
      </c>
      <c r="C699" t="str">
        <f t="shared" si="56"/>
        <v>Friday</v>
      </c>
      <c r="D699" t="str">
        <f t="shared" si="53"/>
        <v>Weekday</v>
      </c>
      <c r="E699" s="2">
        <v>9938</v>
      </c>
      <c r="F699" s="2">
        <v>6.4899997709999999</v>
      </c>
      <c r="G699" s="2">
        <v>6.4899997709999999</v>
      </c>
      <c r="H699" s="2">
        <v>0</v>
      </c>
      <c r="I699" s="2">
        <v>2.1400001049999999</v>
      </c>
      <c r="J699" s="2">
        <v>1.2799999710000001</v>
      </c>
      <c r="K699" s="2">
        <v>3.079999924</v>
      </c>
      <c r="L699" s="2">
        <v>0</v>
      </c>
      <c r="M699" s="2">
        <v>38</v>
      </c>
      <c r="N699" s="2">
        <v>24</v>
      </c>
      <c r="O699" s="2">
        <v>193</v>
      </c>
      <c r="P699" s="2">
        <v>767</v>
      </c>
      <c r="Q699" s="2">
        <f t="shared" si="57"/>
        <v>255</v>
      </c>
      <c r="R699" s="2">
        <f t="shared" si="55"/>
        <v>1022</v>
      </c>
      <c r="S699" t="str">
        <f t="shared" si="54"/>
        <v>Fairly Active</v>
      </c>
      <c r="T699" s="2">
        <v>2019</v>
      </c>
    </row>
    <row r="700" spans="1:20" x14ac:dyDescent="0.25">
      <c r="A700" s="2">
        <v>5553957443</v>
      </c>
      <c r="B700" s="3">
        <v>42469</v>
      </c>
      <c r="C700" t="str">
        <f t="shared" si="56"/>
        <v>Saturday</v>
      </c>
      <c r="D700" t="str">
        <f t="shared" si="53"/>
        <v>Weekend</v>
      </c>
      <c r="E700" s="2">
        <v>4599</v>
      </c>
      <c r="F700" s="2">
        <v>3</v>
      </c>
      <c r="G700" s="2">
        <v>3</v>
      </c>
      <c r="H700" s="2">
        <v>0</v>
      </c>
      <c r="I700" s="2">
        <v>0</v>
      </c>
      <c r="J700" s="2">
        <v>0</v>
      </c>
      <c r="K700" s="2">
        <v>3</v>
      </c>
      <c r="L700" s="2">
        <v>0</v>
      </c>
      <c r="M700" s="2">
        <v>0</v>
      </c>
      <c r="N700" s="2">
        <v>0</v>
      </c>
      <c r="O700" s="2">
        <v>176</v>
      </c>
      <c r="P700" s="2">
        <v>578</v>
      </c>
      <c r="Q700" s="2">
        <f t="shared" si="57"/>
        <v>176</v>
      </c>
      <c r="R700" s="2">
        <f t="shared" si="55"/>
        <v>754</v>
      </c>
      <c r="S700" t="str">
        <f t="shared" si="54"/>
        <v>Sedentary</v>
      </c>
      <c r="T700" s="2">
        <v>1692</v>
      </c>
    </row>
    <row r="701" spans="1:20" x14ac:dyDescent="0.25">
      <c r="A701" s="2">
        <v>5553957443</v>
      </c>
      <c r="B701" s="3">
        <v>42470</v>
      </c>
      <c r="C701" t="str">
        <f t="shared" si="56"/>
        <v>Sunday</v>
      </c>
      <c r="D701" t="str">
        <f t="shared" si="53"/>
        <v>Weekend</v>
      </c>
      <c r="E701" s="2">
        <v>5594</v>
      </c>
      <c r="F701" s="2">
        <v>3.6500000950000002</v>
      </c>
      <c r="G701" s="2">
        <v>3.6500000950000002</v>
      </c>
      <c r="H701" s="2">
        <v>0</v>
      </c>
      <c r="I701" s="2">
        <v>0.280000001</v>
      </c>
      <c r="J701" s="2">
        <v>1.480000019</v>
      </c>
      <c r="K701" s="2">
        <v>1.8899999860000001</v>
      </c>
      <c r="L701" s="2">
        <v>0</v>
      </c>
      <c r="M701" s="2">
        <v>4</v>
      </c>
      <c r="N701" s="2">
        <v>25</v>
      </c>
      <c r="O701" s="2">
        <v>150</v>
      </c>
      <c r="P701" s="2">
        <v>552</v>
      </c>
      <c r="Q701" s="2">
        <f t="shared" si="57"/>
        <v>179</v>
      </c>
      <c r="R701" s="2">
        <f t="shared" si="55"/>
        <v>731</v>
      </c>
      <c r="S701" t="str">
        <f t="shared" si="54"/>
        <v>Lightly Active</v>
      </c>
      <c r="T701" s="2">
        <v>1712</v>
      </c>
    </row>
    <row r="702" spans="1:20" x14ac:dyDescent="0.25">
      <c r="A702" s="2">
        <v>5553957443</v>
      </c>
      <c r="B702" s="3">
        <v>42471</v>
      </c>
      <c r="C702" t="str">
        <f t="shared" si="56"/>
        <v>Monday</v>
      </c>
      <c r="D702" t="str">
        <f t="shared" si="53"/>
        <v>Weekday</v>
      </c>
      <c r="E702" s="2">
        <v>11906</v>
      </c>
      <c r="F702" s="2">
        <v>7.7699999809999998</v>
      </c>
      <c r="G702" s="2">
        <v>7.7699999809999998</v>
      </c>
      <c r="H702" s="2">
        <v>0</v>
      </c>
      <c r="I702" s="2">
        <v>2.2599999899999998</v>
      </c>
      <c r="J702" s="2">
        <v>1.519999981</v>
      </c>
      <c r="K702" s="2">
        <v>3.9900000100000002</v>
      </c>
      <c r="L702" s="2">
        <v>0</v>
      </c>
      <c r="M702" s="2">
        <v>32</v>
      </c>
      <c r="N702" s="2">
        <v>27</v>
      </c>
      <c r="O702" s="2">
        <v>234</v>
      </c>
      <c r="P702" s="2">
        <v>688</v>
      </c>
      <c r="Q702" s="2">
        <f t="shared" si="57"/>
        <v>293</v>
      </c>
      <c r="R702" s="2">
        <f t="shared" si="55"/>
        <v>981</v>
      </c>
      <c r="S702" t="str">
        <f t="shared" si="54"/>
        <v>Highly Active</v>
      </c>
      <c r="T702" s="2">
        <v>2065</v>
      </c>
    </row>
    <row r="703" spans="1:20" x14ac:dyDescent="0.25">
      <c r="A703" s="2">
        <v>5553957443</v>
      </c>
      <c r="B703" s="3">
        <v>42473</v>
      </c>
      <c r="C703" t="str">
        <f t="shared" si="56"/>
        <v>Wednesday</v>
      </c>
      <c r="D703" t="str">
        <f t="shared" si="53"/>
        <v>Weekday</v>
      </c>
      <c r="E703" s="2">
        <v>4832</v>
      </c>
      <c r="F703" s="2">
        <v>3.1600000860000002</v>
      </c>
      <c r="G703" s="2">
        <v>3.1600000860000002</v>
      </c>
      <c r="H703" s="2">
        <v>0</v>
      </c>
      <c r="I703" s="2">
        <v>0</v>
      </c>
      <c r="J703" s="2">
        <v>0</v>
      </c>
      <c r="K703" s="2">
        <v>3.1600000860000002</v>
      </c>
      <c r="L703" s="2">
        <v>0</v>
      </c>
      <c r="M703" s="2">
        <v>0</v>
      </c>
      <c r="N703" s="2">
        <v>0</v>
      </c>
      <c r="O703" s="2">
        <v>226</v>
      </c>
      <c r="P703" s="2">
        <v>647</v>
      </c>
      <c r="Q703" s="2">
        <f t="shared" si="57"/>
        <v>226</v>
      </c>
      <c r="R703" s="2">
        <f t="shared" si="55"/>
        <v>873</v>
      </c>
      <c r="S703" t="str">
        <f t="shared" si="54"/>
        <v>Sedentary</v>
      </c>
      <c r="T703" s="2">
        <v>1718</v>
      </c>
    </row>
    <row r="704" spans="1:20" x14ac:dyDescent="0.25">
      <c r="A704" s="2">
        <v>5553957443</v>
      </c>
      <c r="B704" s="3">
        <v>42474</v>
      </c>
      <c r="C704" t="str">
        <f t="shared" si="56"/>
        <v>Thursday</v>
      </c>
      <c r="D704" t="str">
        <f t="shared" si="53"/>
        <v>Weekday</v>
      </c>
      <c r="E704" s="2">
        <v>17022</v>
      </c>
      <c r="F704" s="2">
        <v>11.119999890000001</v>
      </c>
      <c r="G704" s="2">
        <v>11.119999890000001</v>
      </c>
      <c r="H704" s="2">
        <v>0</v>
      </c>
      <c r="I704" s="2">
        <v>4</v>
      </c>
      <c r="J704" s="2">
        <v>2.4500000480000002</v>
      </c>
      <c r="K704" s="2">
        <v>4.670000076</v>
      </c>
      <c r="L704" s="2">
        <v>0</v>
      </c>
      <c r="M704" s="2">
        <v>61</v>
      </c>
      <c r="N704" s="2">
        <v>41</v>
      </c>
      <c r="O704" s="2">
        <v>256</v>
      </c>
      <c r="P704" s="2">
        <v>693</v>
      </c>
      <c r="Q704" s="2">
        <f t="shared" si="57"/>
        <v>358</v>
      </c>
      <c r="R704" s="2">
        <f t="shared" si="55"/>
        <v>1051</v>
      </c>
      <c r="S704" t="str">
        <f t="shared" si="54"/>
        <v>Highly Active</v>
      </c>
      <c r="T704" s="2">
        <v>2324</v>
      </c>
    </row>
    <row r="705" spans="1:20" x14ac:dyDescent="0.25">
      <c r="A705" s="2">
        <v>5553957443</v>
      </c>
      <c r="B705" s="3">
        <v>42475</v>
      </c>
      <c r="C705" t="str">
        <f t="shared" si="56"/>
        <v>Friday</v>
      </c>
      <c r="D705" t="str">
        <f t="shared" si="53"/>
        <v>Weekday</v>
      </c>
      <c r="E705" s="2">
        <v>16556</v>
      </c>
      <c r="F705" s="2">
        <v>10.85999966</v>
      </c>
      <c r="G705" s="2">
        <v>10.85999966</v>
      </c>
      <c r="H705" s="2">
        <v>0</v>
      </c>
      <c r="I705" s="2">
        <v>4.1599998469999999</v>
      </c>
      <c r="J705" s="2">
        <v>1.980000019</v>
      </c>
      <c r="K705" s="2">
        <v>4.7100000380000004</v>
      </c>
      <c r="L705" s="2">
        <v>0</v>
      </c>
      <c r="M705" s="2">
        <v>58</v>
      </c>
      <c r="N705" s="2">
        <v>38</v>
      </c>
      <c r="O705" s="2">
        <v>239</v>
      </c>
      <c r="P705" s="2">
        <v>689</v>
      </c>
      <c r="Q705" s="2">
        <f t="shared" si="57"/>
        <v>335</v>
      </c>
      <c r="R705" s="2">
        <f t="shared" si="55"/>
        <v>1024</v>
      </c>
      <c r="S705" t="str">
        <f t="shared" si="54"/>
        <v>Highly Active</v>
      </c>
      <c r="T705" s="2">
        <v>2254</v>
      </c>
    </row>
    <row r="706" spans="1:20" x14ac:dyDescent="0.25">
      <c r="A706" s="2">
        <v>5553957443</v>
      </c>
      <c r="B706" s="3">
        <v>42476</v>
      </c>
      <c r="C706" t="str">
        <f t="shared" si="56"/>
        <v>Saturday</v>
      </c>
      <c r="D706" t="str">
        <f t="shared" si="53"/>
        <v>Weekend</v>
      </c>
      <c r="E706" s="2">
        <v>5771</v>
      </c>
      <c r="F706" s="2">
        <v>3.7699999809999998</v>
      </c>
      <c r="G706" s="2">
        <v>3.7699999809999998</v>
      </c>
      <c r="H706" s="2">
        <v>0</v>
      </c>
      <c r="I706" s="2">
        <v>0</v>
      </c>
      <c r="J706" s="2">
        <v>0</v>
      </c>
      <c r="K706" s="2">
        <v>3.7699999809999998</v>
      </c>
      <c r="L706" s="2">
        <v>0</v>
      </c>
      <c r="M706" s="2">
        <v>0</v>
      </c>
      <c r="N706" s="2">
        <v>0</v>
      </c>
      <c r="O706" s="2">
        <v>288</v>
      </c>
      <c r="P706" s="2">
        <v>521</v>
      </c>
      <c r="Q706" s="2">
        <f t="shared" si="57"/>
        <v>288</v>
      </c>
      <c r="R706" s="2">
        <f t="shared" si="55"/>
        <v>809</v>
      </c>
      <c r="S706" t="str">
        <f t="shared" si="54"/>
        <v>Lightly Active</v>
      </c>
      <c r="T706" s="2">
        <v>1831</v>
      </c>
    </row>
    <row r="707" spans="1:20" x14ac:dyDescent="0.25">
      <c r="A707" s="2">
        <v>5553957443</v>
      </c>
      <c r="B707" s="3">
        <v>42477</v>
      </c>
      <c r="C707" t="str">
        <f t="shared" si="56"/>
        <v>Sunday</v>
      </c>
      <c r="D707" t="str">
        <f t="shared" ref="D707:D770" si="58">IF(OR(C707="Saturday", C707="Sunday"), "Weekend", "Weekday")</f>
        <v>Weekend</v>
      </c>
      <c r="E707" s="2">
        <v>655</v>
      </c>
      <c r="F707" s="2">
        <v>0.43000000700000002</v>
      </c>
      <c r="G707" s="2">
        <v>0.43000000700000002</v>
      </c>
      <c r="H707" s="2">
        <v>0</v>
      </c>
      <c r="I707" s="2">
        <v>0</v>
      </c>
      <c r="J707" s="2">
        <v>0</v>
      </c>
      <c r="K707" s="2">
        <v>0.43000000700000002</v>
      </c>
      <c r="L707" s="2">
        <v>0</v>
      </c>
      <c r="M707" s="2">
        <v>0</v>
      </c>
      <c r="N707" s="2">
        <v>0</v>
      </c>
      <c r="O707" s="2">
        <v>46</v>
      </c>
      <c r="P707" s="2">
        <v>943</v>
      </c>
      <c r="Q707" s="2">
        <f t="shared" si="57"/>
        <v>46</v>
      </c>
      <c r="R707" s="2">
        <f t="shared" si="55"/>
        <v>989</v>
      </c>
      <c r="S707" t="str">
        <f t="shared" ref="S707:S770" si="59">IF(E707&lt;5000, "Sedentary", IF(E707&lt;7500, "Lightly Active", IF(E707&lt;10000, "Fairly Active", "Highly Active")))</f>
        <v>Sedentary</v>
      </c>
      <c r="T707" s="2">
        <v>1397</v>
      </c>
    </row>
    <row r="708" spans="1:20" x14ac:dyDescent="0.25">
      <c r="A708" s="2">
        <v>5553957443</v>
      </c>
      <c r="B708" s="3">
        <v>42478</v>
      </c>
      <c r="C708" t="str">
        <f t="shared" si="56"/>
        <v>Monday</v>
      </c>
      <c r="D708" t="str">
        <f t="shared" si="58"/>
        <v>Weekday</v>
      </c>
      <c r="E708" s="2">
        <v>3727</v>
      </c>
      <c r="F708" s="2">
        <v>2.4300000669999999</v>
      </c>
      <c r="G708" s="2">
        <v>2.4300000669999999</v>
      </c>
      <c r="H708" s="2">
        <v>0</v>
      </c>
      <c r="I708" s="2">
        <v>0</v>
      </c>
      <c r="J708" s="2">
        <v>0</v>
      </c>
      <c r="K708" s="2">
        <v>2.4300000669999999</v>
      </c>
      <c r="L708" s="2">
        <v>0</v>
      </c>
      <c r="M708" s="2">
        <v>0</v>
      </c>
      <c r="N708" s="2">
        <v>0</v>
      </c>
      <c r="O708" s="2">
        <v>206</v>
      </c>
      <c r="P708" s="2">
        <v>622</v>
      </c>
      <c r="Q708" s="2">
        <f t="shared" si="57"/>
        <v>206</v>
      </c>
      <c r="R708" s="2">
        <f t="shared" si="55"/>
        <v>828</v>
      </c>
      <c r="S708" t="str">
        <f t="shared" si="59"/>
        <v>Sedentary</v>
      </c>
      <c r="T708" s="2">
        <v>1683</v>
      </c>
    </row>
    <row r="709" spans="1:20" x14ac:dyDescent="0.25">
      <c r="A709" s="2">
        <v>5553957443</v>
      </c>
      <c r="B709" s="3">
        <v>42479</v>
      </c>
      <c r="C709" t="str">
        <f t="shared" si="56"/>
        <v>Tuesday</v>
      </c>
      <c r="D709" t="str">
        <f t="shared" si="58"/>
        <v>Weekday</v>
      </c>
      <c r="E709" s="2">
        <v>15482</v>
      </c>
      <c r="F709" s="2">
        <v>10.10999966</v>
      </c>
      <c r="G709" s="2">
        <v>10.10999966</v>
      </c>
      <c r="H709" s="2">
        <v>0</v>
      </c>
      <c r="I709" s="2">
        <v>4.2800002099999999</v>
      </c>
      <c r="J709" s="2">
        <v>1.6599999670000001</v>
      </c>
      <c r="K709" s="2">
        <v>4.1799998279999997</v>
      </c>
      <c r="L709" s="2">
        <v>0</v>
      </c>
      <c r="M709" s="2">
        <v>69</v>
      </c>
      <c r="N709" s="2">
        <v>28</v>
      </c>
      <c r="O709" s="2">
        <v>249</v>
      </c>
      <c r="P709" s="2">
        <v>756</v>
      </c>
      <c r="Q709" s="2">
        <f t="shared" si="57"/>
        <v>346</v>
      </c>
      <c r="R709" s="2">
        <f t="shared" si="55"/>
        <v>1102</v>
      </c>
      <c r="S709" t="str">
        <f t="shared" si="59"/>
        <v>Highly Active</v>
      </c>
      <c r="T709" s="2">
        <v>2284</v>
      </c>
    </row>
    <row r="710" spans="1:20" x14ac:dyDescent="0.25">
      <c r="A710" s="2">
        <v>5553957443</v>
      </c>
      <c r="B710" s="3">
        <v>42480</v>
      </c>
      <c r="C710" t="str">
        <f t="shared" si="56"/>
        <v>Wednesday</v>
      </c>
      <c r="D710" t="str">
        <f t="shared" si="58"/>
        <v>Weekday</v>
      </c>
      <c r="E710" s="2">
        <v>2713</v>
      </c>
      <c r="F710" s="2">
        <v>1.769999981</v>
      </c>
      <c r="G710" s="2">
        <v>1.769999981</v>
      </c>
      <c r="H710" s="2">
        <v>0</v>
      </c>
      <c r="I710" s="2">
        <v>0</v>
      </c>
      <c r="J710" s="2">
        <v>0</v>
      </c>
      <c r="K710" s="2">
        <v>1.769999981</v>
      </c>
      <c r="L710" s="2">
        <v>0</v>
      </c>
      <c r="M710" s="2">
        <v>0</v>
      </c>
      <c r="N710" s="2">
        <v>0</v>
      </c>
      <c r="O710" s="2">
        <v>148</v>
      </c>
      <c r="P710" s="2">
        <v>598</v>
      </c>
      <c r="Q710" s="2">
        <f t="shared" si="57"/>
        <v>148</v>
      </c>
      <c r="R710" s="2">
        <f t="shared" si="55"/>
        <v>746</v>
      </c>
      <c r="S710" t="str">
        <f t="shared" si="59"/>
        <v>Sedentary</v>
      </c>
      <c r="T710" s="2">
        <v>1570</v>
      </c>
    </row>
    <row r="711" spans="1:20" x14ac:dyDescent="0.25">
      <c r="A711" s="2">
        <v>5553957443</v>
      </c>
      <c r="B711" s="3">
        <v>42481</v>
      </c>
      <c r="C711" t="str">
        <f t="shared" si="56"/>
        <v>Thursday</v>
      </c>
      <c r="D711" t="str">
        <f t="shared" si="58"/>
        <v>Weekday</v>
      </c>
      <c r="E711" s="2">
        <v>12346</v>
      </c>
      <c r="F711" s="2">
        <v>8.0600004199999997</v>
      </c>
      <c r="G711" s="2">
        <v>8.0600004199999997</v>
      </c>
      <c r="H711" s="2">
        <v>0</v>
      </c>
      <c r="I711" s="2">
        <v>2.9500000480000002</v>
      </c>
      <c r="J711" s="2">
        <v>2.1600000860000002</v>
      </c>
      <c r="K711" s="2">
        <v>2.960000038</v>
      </c>
      <c r="L711" s="2">
        <v>0</v>
      </c>
      <c r="M711" s="2">
        <v>47</v>
      </c>
      <c r="N711" s="2">
        <v>42</v>
      </c>
      <c r="O711" s="2">
        <v>177</v>
      </c>
      <c r="P711" s="2">
        <v>801</v>
      </c>
      <c r="Q711" s="2">
        <f t="shared" si="57"/>
        <v>266</v>
      </c>
      <c r="R711" s="2">
        <f t="shared" si="55"/>
        <v>1067</v>
      </c>
      <c r="S711" t="str">
        <f t="shared" si="59"/>
        <v>Highly Active</v>
      </c>
      <c r="T711" s="2">
        <v>2066</v>
      </c>
    </row>
    <row r="712" spans="1:20" x14ac:dyDescent="0.25">
      <c r="A712" s="2">
        <v>5553957443</v>
      </c>
      <c r="B712" s="3">
        <v>42482</v>
      </c>
      <c r="C712" t="str">
        <f t="shared" si="56"/>
        <v>Friday</v>
      </c>
      <c r="D712" t="str">
        <f t="shared" si="58"/>
        <v>Weekday</v>
      </c>
      <c r="E712" s="2">
        <v>11682</v>
      </c>
      <c r="F712" s="2">
        <v>7.6300001139999996</v>
      </c>
      <c r="G712" s="2">
        <v>7.6300001139999996</v>
      </c>
      <c r="H712" s="2">
        <v>0</v>
      </c>
      <c r="I712" s="2">
        <v>1.3799999949999999</v>
      </c>
      <c r="J712" s="2">
        <v>0.62999999500000003</v>
      </c>
      <c r="K712" s="2">
        <v>5.5999999049999998</v>
      </c>
      <c r="L712" s="2">
        <v>0</v>
      </c>
      <c r="M712" s="2">
        <v>25</v>
      </c>
      <c r="N712" s="2">
        <v>16</v>
      </c>
      <c r="O712" s="2">
        <v>270</v>
      </c>
      <c r="P712" s="2">
        <v>781</v>
      </c>
      <c r="Q712" s="2">
        <f t="shared" si="57"/>
        <v>311</v>
      </c>
      <c r="R712" s="2">
        <f t="shared" si="55"/>
        <v>1092</v>
      </c>
      <c r="S712" t="str">
        <f t="shared" si="59"/>
        <v>Highly Active</v>
      </c>
      <c r="T712" s="2">
        <v>2105</v>
      </c>
    </row>
    <row r="713" spans="1:20" x14ac:dyDescent="0.25">
      <c r="A713" s="2">
        <v>5553957443</v>
      </c>
      <c r="B713" s="3">
        <v>42483</v>
      </c>
      <c r="C713" t="str">
        <f t="shared" si="56"/>
        <v>Saturday</v>
      </c>
      <c r="D713" t="str">
        <f t="shared" si="58"/>
        <v>Weekend</v>
      </c>
      <c r="E713" s="2">
        <v>4112</v>
      </c>
      <c r="F713" s="2">
        <v>2.6900000569999998</v>
      </c>
      <c r="G713" s="2">
        <v>2.6900000569999998</v>
      </c>
      <c r="H713" s="2">
        <v>0</v>
      </c>
      <c r="I713" s="2">
        <v>0</v>
      </c>
      <c r="J713" s="2">
        <v>0</v>
      </c>
      <c r="K713" s="2">
        <v>2.6800000669999999</v>
      </c>
      <c r="L713" s="2">
        <v>0</v>
      </c>
      <c r="M713" s="2">
        <v>0</v>
      </c>
      <c r="N713" s="2">
        <v>0</v>
      </c>
      <c r="O713" s="2">
        <v>272</v>
      </c>
      <c r="P713" s="2">
        <v>443</v>
      </c>
      <c r="Q713" s="2">
        <f t="shared" si="57"/>
        <v>272</v>
      </c>
      <c r="R713" s="2">
        <f t="shared" si="55"/>
        <v>715</v>
      </c>
      <c r="S713" t="str">
        <f t="shared" si="59"/>
        <v>Sedentary</v>
      </c>
      <c r="T713" s="2">
        <v>1776</v>
      </c>
    </row>
    <row r="714" spans="1:20" x14ac:dyDescent="0.25">
      <c r="A714" s="2">
        <v>5553957443</v>
      </c>
      <c r="B714" s="3">
        <v>42484</v>
      </c>
      <c r="C714" t="str">
        <f t="shared" si="56"/>
        <v>Sunday</v>
      </c>
      <c r="D714" t="str">
        <f t="shared" si="58"/>
        <v>Weekend</v>
      </c>
      <c r="E714" s="2">
        <v>1807</v>
      </c>
      <c r="F714" s="2">
        <v>1.1799999480000001</v>
      </c>
      <c r="G714" s="2">
        <v>1.1799999480000001</v>
      </c>
      <c r="H714" s="2">
        <v>0</v>
      </c>
      <c r="I714" s="2">
        <v>0</v>
      </c>
      <c r="J714" s="2">
        <v>0</v>
      </c>
      <c r="K714" s="2">
        <v>1.1799999480000001</v>
      </c>
      <c r="L714" s="2">
        <v>0</v>
      </c>
      <c r="M714" s="2">
        <v>0</v>
      </c>
      <c r="N714" s="2">
        <v>0</v>
      </c>
      <c r="O714" s="2">
        <v>104</v>
      </c>
      <c r="P714" s="2">
        <v>582</v>
      </c>
      <c r="Q714" s="2">
        <f t="shared" si="57"/>
        <v>104</v>
      </c>
      <c r="R714" s="2">
        <f t="shared" si="55"/>
        <v>686</v>
      </c>
      <c r="S714" t="str">
        <f t="shared" si="59"/>
        <v>Sedentary</v>
      </c>
      <c r="T714" s="2">
        <v>1507</v>
      </c>
    </row>
    <row r="715" spans="1:20" x14ac:dyDescent="0.25">
      <c r="A715" s="2">
        <v>5553957443</v>
      </c>
      <c r="B715" s="3">
        <v>42485</v>
      </c>
      <c r="C715" t="str">
        <f t="shared" si="56"/>
        <v>Monday</v>
      </c>
      <c r="D715" t="str">
        <f t="shared" si="58"/>
        <v>Weekday</v>
      </c>
      <c r="E715" s="2">
        <v>10946</v>
      </c>
      <c r="F715" s="2">
        <v>7.1900000569999998</v>
      </c>
      <c r="G715" s="2">
        <v>7.1900000569999998</v>
      </c>
      <c r="H715" s="2">
        <v>0</v>
      </c>
      <c r="I715" s="2">
        <v>2.9300000669999999</v>
      </c>
      <c r="J715" s="2">
        <v>0.56999999300000004</v>
      </c>
      <c r="K715" s="2">
        <v>3.6900000569999998</v>
      </c>
      <c r="L715" s="2">
        <v>0</v>
      </c>
      <c r="M715" s="2">
        <v>51</v>
      </c>
      <c r="N715" s="2">
        <v>11</v>
      </c>
      <c r="O715" s="2">
        <v>201</v>
      </c>
      <c r="P715" s="2">
        <v>732</v>
      </c>
      <c r="Q715" s="2">
        <f t="shared" si="57"/>
        <v>263</v>
      </c>
      <c r="R715" s="2">
        <f t="shared" si="55"/>
        <v>995</v>
      </c>
      <c r="S715" t="str">
        <f t="shared" si="59"/>
        <v>Highly Active</v>
      </c>
      <c r="T715" s="2">
        <v>2033</v>
      </c>
    </row>
    <row r="716" spans="1:20" x14ac:dyDescent="0.25">
      <c r="A716" s="2">
        <v>5553957443</v>
      </c>
      <c r="B716" s="3">
        <v>42486</v>
      </c>
      <c r="C716" t="str">
        <f t="shared" si="56"/>
        <v>Tuesday</v>
      </c>
      <c r="D716" t="str">
        <f t="shared" si="58"/>
        <v>Weekday</v>
      </c>
      <c r="E716" s="2">
        <v>11886</v>
      </c>
      <c r="F716" s="2">
        <v>7.7600002290000001</v>
      </c>
      <c r="G716" s="2">
        <v>7.7600002290000001</v>
      </c>
      <c r="H716" s="2">
        <v>0</v>
      </c>
      <c r="I716" s="2">
        <v>2.369999886</v>
      </c>
      <c r="J716" s="2">
        <v>0.93000000699999996</v>
      </c>
      <c r="K716" s="2">
        <v>4.4600000380000004</v>
      </c>
      <c r="L716" s="2">
        <v>0</v>
      </c>
      <c r="M716" s="2">
        <v>40</v>
      </c>
      <c r="N716" s="2">
        <v>18</v>
      </c>
      <c r="O716" s="2">
        <v>238</v>
      </c>
      <c r="P716" s="2">
        <v>750</v>
      </c>
      <c r="Q716" s="2">
        <f t="shared" si="57"/>
        <v>296</v>
      </c>
      <c r="R716" s="2">
        <f t="shared" si="55"/>
        <v>1046</v>
      </c>
      <c r="S716" t="str">
        <f t="shared" si="59"/>
        <v>Highly Active</v>
      </c>
      <c r="T716" s="2">
        <v>2093</v>
      </c>
    </row>
    <row r="717" spans="1:20" x14ac:dyDescent="0.25">
      <c r="A717" s="2">
        <v>5553957443</v>
      </c>
      <c r="B717" s="3">
        <v>42487</v>
      </c>
      <c r="C717" t="str">
        <f t="shared" si="56"/>
        <v>Wednesday</v>
      </c>
      <c r="D717" t="str">
        <f t="shared" si="58"/>
        <v>Weekday</v>
      </c>
      <c r="E717" s="2">
        <v>10538</v>
      </c>
      <c r="F717" s="2">
        <v>6.8800001139999996</v>
      </c>
      <c r="G717" s="2">
        <v>6.8800001139999996</v>
      </c>
      <c r="H717" s="2">
        <v>0</v>
      </c>
      <c r="I717" s="2">
        <v>1.1399999860000001</v>
      </c>
      <c r="J717" s="2">
        <v>1</v>
      </c>
      <c r="K717" s="2">
        <v>4.7399997709999999</v>
      </c>
      <c r="L717" s="2">
        <v>0</v>
      </c>
      <c r="M717" s="2">
        <v>16</v>
      </c>
      <c r="N717" s="2">
        <v>16</v>
      </c>
      <c r="O717" s="2">
        <v>206</v>
      </c>
      <c r="P717" s="2">
        <v>745</v>
      </c>
      <c r="Q717" s="2">
        <f t="shared" si="57"/>
        <v>238</v>
      </c>
      <c r="R717" s="2">
        <f t="shared" si="55"/>
        <v>983</v>
      </c>
      <c r="S717" t="str">
        <f t="shared" si="59"/>
        <v>Highly Active</v>
      </c>
      <c r="T717" s="2">
        <v>1922</v>
      </c>
    </row>
    <row r="718" spans="1:20" x14ac:dyDescent="0.25">
      <c r="A718" s="2">
        <v>5553957443</v>
      </c>
      <c r="B718" s="3">
        <v>42488</v>
      </c>
      <c r="C718" t="str">
        <f t="shared" si="56"/>
        <v>Thursday</v>
      </c>
      <c r="D718" t="str">
        <f t="shared" si="58"/>
        <v>Weekday</v>
      </c>
      <c r="E718" s="2">
        <v>11393</v>
      </c>
      <c r="F718" s="2">
        <v>7.6300001139999996</v>
      </c>
      <c r="G718" s="2">
        <v>7.6300001139999996</v>
      </c>
      <c r="H718" s="2">
        <v>0</v>
      </c>
      <c r="I718" s="2">
        <v>3.710000038</v>
      </c>
      <c r="J718" s="2">
        <v>0.75</v>
      </c>
      <c r="K718" s="2">
        <v>3.170000076</v>
      </c>
      <c r="L718" s="2">
        <v>0</v>
      </c>
      <c r="M718" s="2">
        <v>49</v>
      </c>
      <c r="N718" s="2">
        <v>13</v>
      </c>
      <c r="O718" s="2">
        <v>165</v>
      </c>
      <c r="P718" s="2">
        <v>727</v>
      </c>
      <c r="Q718" s="2">
        <f t="shared" si="57"/>
        <v>227</v>
      </c>
      <c r="R718" s="2">
        <f t="shared" si="55"/>
        <v>954</v>
      </c>
      <c r="S718" t="str">
        <f t="shared" si="59"/>
        <v>Highly Active</v>
      </c>
      <c r="T718" s="2">
        <v>1999</v>
      </c>
    </row>
    <row r="719" spans="1:20" x14ac:dyDescent="0.25">
      <c r="A719" s="2">
        <v>5553957443</v>
      </c>
      <c r="B719" s="3">
        <v>42489</v>
      </c>
      <c r="C719" t="str">
        <f t="shared" si="56"/>
        <v>Friday</v>
      </c>
      <c r="D719" t="str">
        <f t="shared" si="58"/>
        <v>Weekday</v>
      </c>
      <c r="E719" s="2">
        <v>12764</v>
      </c>
      <c r="F719" s="2">
        <v>8.3299999239999991</v>
      </c>
      <c r="G719" s="2">
        <v>8.3299999239999991</v>
      </c>
      <c r="H719" s="2">
        <v>0</v>
      </c>
      <c r="I719" s="2">
        <v>2.789999962</v>
      </c>
      <c r="J719" s="2">
        <v>0.63999998599999997</v>
      </c>
      <c r="K719" s="2">
        <v>4.9099998469999999</v>
      </c>
      <c r="L719" s="2">
        <v>0</v>
      </c>
      <c r="M719" s="2">
        <v>46</v>
      </c>
      <c r="N719" s="2">
        <v>15</v>
      </c>
      <c r="O719" s="2">
        <v>270</v>
      </c>
      <c r="P719" s="2">
        <v>709</v>
      </c>
      <c r="Q719" s="2">
        <f t="shared" si="57"/>
        <v>331</v>
      </c>
      <c r="R719" s="2">
        <f t="shared" si="55"/>
        <v>1040</v>
      </c>
      <c r="S719" t="str">
        <f t="shared" si="59"/>
        <v>Highly Active</v>
      </c>
      <c r="T719" s="2">
        <v>2169</v>
      </c>
    </row>
    <row r="720" spans="1:20" x14ac:dyDescent="0.25">
      <c r="A720" s="2">
        <v>5553957443</v>
      </c>
      <c r="B720" s="3">
        <v>42491</v>
      </c>
      <c r="C720" t="str">
        <f t="shared" si="56"/>
        <v>Sunday</v>
      </c>
      <c r="D720" t="str">
        <f t="shared" si="58"/>
        <v>Weekend</v>
      </c>
      <c r="E720" s="2">
        <v>5164</v>
      </c>
      <c r="F720" s="2">
        <v>3.369999886</v>
      </c>
      <c r="G720" s="2">
        <v>3.369999886</v>
      </c>
      <c r="H720" s="2">
        <v>0</v>
      </c>
      <c r="I720" s="2">
        <v>0</v>
      </c>
      <c r="J720" s="2">
        <v>0</v>
      </c>
      <c r="K720" s="2">
        <v>3.369999886</v>
      </c>
      <c r="L720" s="2">
        <v>0</v>
      </c>
      <c r="M720" s="2">
        <v>0</v>
      </c>
      <c r="N720" s="2">
        <v>0</v>
      </c>
      <c r="O720" s="2">
        <v>237</v>
      </c>
      <c r="P720" s="2">
        <v>436</v>
      </c>
      <c r="Q720" s="2">
        <f t="shared" si="57"/>
        <v>237</v>
      </c>
      <c r="R720" s="2">
        <f t="shared" si="55"/>
        <v>673</v>
      </c>
      <c r="S720" t="str">
        <f t="shared" si="59"/>
        <v>Lightly Active</v>
      </c>
      <c r="T720" s="2">
        <v>1747</v>
      </c>
    </row>
    <row r="721" spans="1:20" x14ac:dyDescent="0.25">
      <c r="A721" s="2">
        <v>5553957443</v>
      </c>
      <c r="B721" s="3">
        <v>42492</v>
      </c>
      <c r="C721" t="str">
        <f t="shared" si="56"/>
        <v>Monday</v>
      </c>
      <c r="D721" t="str">
        <f t="shared" si="58"/>
        <v>Weekday</v>
      </c>
      <c r="E721" s="2">
        <v>9769</v>
      </c>
      <c r="F721" s="2">
        <v>6.3800001139999996</v>
      </c>
      <c r="G721" s="2">
        <v>6.3800001139999996</v>
      </c>
      <c r="H721" s="2">
        <v>0</v>
      </c>
      <c r="I721" s="2">
        <v>1.059999943</v>
      </c>
      <c r="J721" s="2">
        <v>0.40999999599999998</v>
      </c>
      <c r="K721" s="2">
        <v>4.9000000950000002</v>
      </c>
      <c r="L721" s="2">
        <v>0</v>
      </c>
      <c r="M721" s="2">
        <v>23</v>
      </c>
      <c r="N721" s="2">
        <v>9</v>
      </c>
      <c r="O721" s="2">
        <v>227</v>
      </c>
      <c r="P721" s="2">
        <v>724</v>
      </c>
      <c r="Q721" s="2">
        <f t="shared" si="57"/>
        <v>259</v>
      </c>
      <c r="R721" s="2">
        <f t="shared" si="55"/>
        <v>983</v>
      </c>
      <c r="S721" t="str">
        <f t="shared" si="59"/>
        <v>Fairly Active</v>
      </c>
      <c r="T721" s="2">
        <v>1996</v>
      </c>
    </row>
    <row r="722" spans="1:20" x14ac:dyDescent="0.25">
      <c r="A722" s="2">
        <v>5553957443</v>
      </c>
      <c r="B722" s="3">
        <v>42493</v>
      </c>
      <c r="C722" t="str">
        <f t="shared" si="56"/>
        <v>Tuesday</v>
      </c>
      <c r="D722" t="str">
        <f t="shared" si="58"/>
        <v>Weekday</v>
      </c>
      <c r="E722" s="2">
        <v>12848</v>
      </c>
      <c r="F722" s="2">
        <v>8.3900003430000005</v>
      </c>
      <c r="G722" s="2">
        <v>8.3900003430000005</v>
      </c>
      <c r="H722" s="2">
        <v>0</v>
      </c>
      <c r="I722" s="2">
        <v>1.5</v>
      </c>
      <c r="J722" s="2">
        <v>1.2000000479999999</v>
      </c>
      <c r="K722" s="2">
        <v>5.6799998279999997</v>
      </c>
      <c r="L722" s="2">
        <v>0</v>
      </c>
      <c r="M722" s="2">
        <v>26</v>
      </c>
      <c r="N722" s="2">
        <v>29</v>
      </c>
      <c r="O722" s="2">
        <v>247</v>
      </c>
      <c r="P722" s="2">
        <v>812</v>
      </c>
      <c r="Q722" s="2">
        <f t="shared" si="57"/>
        <v>302</v>
      </c>
      <c r="R722" s="2">
        <f t="shared" si="55"/>
        <v>1114</v>
      </c>
      <c r="S722" t="str">
        <f t="shared" si="59"/>
        <v>Highly Active</v>
      </c>
      <c r="T722" s="2">
        <v>2116</v>
      </c>
    </row>
    <row r="723" spans="1:20" x14ac:dyDescent="0.25">
      <c r="A723" s="2">
        <v>5553957443</v>
      </c>
      <c r="B723" s="3">
        <v>42494</v>
      </c>
      <c r="C723" t="str">
        <f t="shared" si="56"/>
        <v>Wednesday</v>
      </c>
      <c r="D723" t="str">
        <f t="shared" si="58"/>
        <v>Weekday</v>
      </c>
      <c r="E723" s="2">
        <v>4249</v>
      </c>
      <c r="F723" s="2">
        <v>2.7699999809999998</v>
      </c>
      <c r="G723" s="2">
        <v>2.7699999809999998</v>
      </c>
      <c r="H723" s="2">
        <v>0</v>
      </c>
      <c r="I723" s="2">
        <v>0</v>
      </c>
      <c r="J723" s="2">
        <v>0</v>
      </c>
      <c r="K723" s="2">
        <v>2.7699999809999998</v>
      </c>
      <c r="L723" s="2">
        <v>0</v>
      </c>
      <c r="M723" s="2">
        <v>0</v>
      </c>
      <c r="N723" s="2">
        <v>0</v>
      </c>
      <c r="O723" s="2">
        <v>224</v>
      </c>
      <c r="P723" s="2">
        <v>651</v>
      </c>
      <c r="Q723" s="2">
        <f t="shared" si="57"/>
        <v>224</v>
      </c>
      <c r="R723" s="2">
        <f t="shared" si="55"/>
        <v>875</v>
      </c>
      <c r="S723" t="str">
        <f t="shared" si="59"/>
        <v>Sedentary</v>
      </c>
      <c r="T723" s="2">
        <v>1698</v>
      </c>
    </row>
    <row r="724" spans="1:20" x14ac:dyDescent="0.25">
      <c r="A724" s="2">
        <v>5553957443</v>
      </c>
      <c r="B724" s="3">
        <v>42495</v>
      </c>
      <c r="C724" t="str">
        <f t="shared" si="56"/>
        <v>Thursday</v>
      </c>
      <c r="D724" t="str">
        <f t="shared" si="58"/>
        <v>Weekday</v>
      </c>
      <c r="E724" s="2">
        <v>14331</v>
      </c>
      <c r="F724" s="2">
        <v>9.5100002289999992</v>
      </c>
      <c r="G724" s="2">
        <v>9.5100002289999992</v>
      </c>
      <c r="H724" s="2">
        <v>0</v>
      </c>
      <c r="I724" s="2">
        <v>3.4300000669999999</v>
      </c>
      <c r="J724" s="2">
        <v>1.6599999670000001</v>
      </c>
      <c r="K724" s="2">
        <v>4.4299998279999997</v>
      </c>
      <c r="L724" s="2">
        <v>0</v>
      </c>
      <c r="M724" s="2">
        <v>44</v>
      </c>
      <c r="N724" s="2">
        <v>29</v>
      </c>
      <c r="O724" s="2">
        <v>241</v>
      </c>
      <c r="P724" s="2">
        <v>692</v>
      </c>
      <c r="Q724" s="2">
        <f t="shared" si="57"/>
        <v>314</v>
      </c>
      <c r="R724" s="2">
        <f t="shared" si="55"/>
        <v>1006</v>
      </c>
      <c r="S724" t="str">
        <f t="shared" si="59"/>
        <v>Highly Active</v>
      </c>
      <c r="T724" s="2">
        <v>2156</v>
      </c>
    </row>
    <row r="725" spans="1:20" x14ac:dyDescent="0.25">
      <c r="A725" s="2">
        <v>5553957443</v>
      </c>
      <c r="B725" s="3">
        <v>42496</v>
      </c>
      <c r="C725" t="str">
        <f t="shared" si="56"/>
        <v>Friday</v>
      </c>
      <c r="D725" t="str">
        <f t="shared" si="58"/>
        <v>Weekday</v>
      </c>
      <c r="E725" s="2">
        <v>9632</v>
      </c>
      <c r="F725" s="2">
        <v>6.2899999619999996</v>
      </c>
      <c r="G725" s="2">
        <v>6.2899999619999996</v>
      </c>
      <c r="H725" s="2">
        <v>0</v>
      </c>
      <c r="I725" s="2">
        <v>1.519999981</v>
      </c>
      <c r="J725" s="2">
        <v>0.540000021</v>
      </c>
      <c r="K725" s="2">
        <v>4.2300000190000002</v>
      </c>
      <c r="L725" s="2">
        <v>0</v>
      </c>
      <c r="M725" s="2">
        <v>21</v>
      </c>
      <c r="N725" s="2">
        <v>9</v>
      </c>
      <c r="O725" s="2">
        <v>229</v>
      </c>
      <c r="P725" s="2">
        <v>761</v>
      </c>
      <c r="Q725" s="2">
        <f t="shared" si="57"/>
        <v>259</v>
      </c>
      <c r="R725" s="2">
        <f t="shared" si="55"/>
        <v>1020</v>
      </c>
      <c r="S725" t="str">
        <f t="shared" si="59"/>
        <v>Fairly Active</v>
      </c>
      <c r="T725" s="2">
        <v>1916</v>
      </c>
    </row>
    <row r="726" spans="1:20" x14ac:dyDescent="0.25">
      <c r="A726" s="2">
        <v>5553957443</v>
      </c>
      <c r="B726" s="3">
        <v>42497</v>
      </c>
      <c r="C726" t="str">
        <f t="shared" si="56"/>
        <v>Saturday</v>
      </c>
      <c r="D726" t="str">
        <f t="shared" si="58"/>
        <v>Weekend</v>
      </c>
      <c r="E726" s="2">
        <v>1868</v>
      </c>
      <c r="F726" s="2">
        <v>1.2200000289999999</v>
      </c>
      <c r="G726" s="2">
        <v>1.2200000289999999</v>
      </c>
      <c r="H726" s="2">
        <v>0</v>
      </c>
      <c r="I726" s="2">
        <v>0</v>
      </c>
      <c r="J726" s="2">
        <v>0</v>
      </c>
      <c r="K726" s="2">
        <v>1.2200000289999999</v>
      </c>
      <c r="L726" s="2">
        <v>0</v>
      </c>
      <c r="M726" s="2">
        <v>0</v>
      </c>
      <c r="N726" s="2">
        <v>0</v>
      </c>
      <c r="O726" s="2">
        <v>96</v>
      </c>
      <c r="P726" s="2">
        <v>902</v>
      </c>
      <c r="Q726" s="2">
        <f t="shared" si="57"/>
        <v>96</v>
      </c>
      <c r="R726" s="2">
        <f t="shared" si="55"/>
        <v>998</v>
      </c>
      <c r="S726" t="str">
        <f t="shared" si="59"/>
        <v>Sedentary</v>
      </c>
      <c r="T726" s="2">
        <v>1494</v>
      </c>
    </row>
    <row r="727" spans="1:20" x14ac:dyDescent="0.25">
      <c r="A727" s="2">
        <v>5553957443</v>
      </c>
      <c r="B727" s="3">
        <v>42498</v>
      </c>
      <c r="C727" t="str">
        <f t="shared" si="56"/>
        <v>Sunday</v>
      </c>
      <c r="D727" t="str">
        <f t="shared" si="58"/>
        <v>Weekend</v>
      </c>
      <c r="E727" s="2">
        <v>6083</v>
      </c>
      <c r="F727" s="2">
        <v>4</v>
      </c>
      <c r="G727" s="2">
        <v>4</v>
      </c>
      <c r="H727" s="2">
        <v>0</v>
      </c>
      <c r="I727" s="2">
        <v>0.219999999</v>
      </c>
      <c r="J727" s="2">
        <v>0.469999999</v>
      </c>
      <c r="K727" s="2">
        <v>3.2999999519999998</v>
      </c>
      <c r="L727" s="2">
        <v>0</v>
      </c>
      <c r="M727" s="2">
        <v>3</v>
      </c>
      <c r="N727" s="2">
        <v>8</v>
      </c>
      <c r="O727" s="2">
        <v>210</v>
      </c>
      <c r="P727" s="2">
        <v>505</v>
      </c>
      <c r="Q727" s="2">
        <f t="shared" si="57"/>
        <v>221</v>
      </c>
      <c r="R727" s="2">
        <f t="shared" si="55"/>
        <v>726</v>
      </c>
      <c r="S727" t="str">
        <f t="shared" si="59"/>
        <v>Lightly Active</v>
      </c>
      <c r="T727" s="2">
        <v>1762</v>
      </c>
    </row>
    <row r="728" spans="1:20" x14ac:dyDescent="0.25">
      <c r="A728" s="2">
        <v>5553957443</v>
      </c>
      <c r="B728" s="3">
        <v>42499</v>
      </c>
      <c r="C728" t="str">
        <f t="shared" si="56"/>
        <v>Monday</v>
      </c>
      <c r="D728" t="str">
        <f t="shared" si="58"/>
        <v>Weekday</v>
      </c>
      <c r="E728" s="2">
        <v>11611</v>
      </c>
      <c r="F728" s="2">
        <v>7.579999924</v>
      </c>
      <c r="G728" s="2">
        <v>7.579999924</v>
      </c>
      <c r="H728" s="2">
        <v>0</v>
      </c>
      <c r="I728" s="2">
        <v>2.130000114</v>
      </c>
      <c r="J728" s="2">
        <v>0.88999998599999997</v>
      </c>
      <c r="K728" s="2">
        <v>4.5599999430000002</v>
      </c>
      <c r="L728" s="2">
        <v>0</v>
      </c>
      <c r="M728" s="2">
        <v>59</v>
      </c>
      <c r="N728" s="2">
        <v>22</v>
      </c>
      <c r="O728" s="2">
        <v>251</v>
      </c>
      <c r="P728" s="2">
        <v>667</v>
      </c>
      <c r="Q728" s="2">
        <f t="shared" si="57"/>
        <v>332</v>
      </c>
      <c r="R728" s="2">
        <f t="shared" si="55"/>
        <v>999</v>
      </c>
      <c r="S728" t="str">
        <f t="shared" si="59"/>
        <v>Highly Active</v>
      </c>
      <c r="T728" s="2">
        <v>2272</v>
      </c>
    </row>
    <row r="729" spans="1:20" x14ac:dyDescent="0.25">
      <c r="A729" s="2">
        <v>5553957443</v>
      </c>
      <c r="B729" s="3">
        <v>42500</v>
      </c>
      <c r="C729" t="str">
        <f t="shared" si="56"/>
        <v>Tuesday</v>
      </c>
      <c r="D729" t="str">
        <f t="shared" si="58"/>
        <v>Weekday</v>
      </c>
      <c r="E729" s="2">
        <v>16358</v>
      </c>
      <c r="F729" s="2">
        <v>10.710000040000001</v>
      </c>
      <c r="G729" s="2">
        <v>10.710000040000001</v>
      </c>
      <c r="H729" s="2">
        <v>0</v>
      </c>
      <c r="I729" s="2">
        <v>3.869999886</v>
      </c>
      <c r="J729" s="2">
        <v>1.6100000139999999</v>
      </c>
      <c r="K729" s="2">
        <v>5.1999998090000004</v>
      </c>
      <c r="L729" s="2">
        <v>0</v>
      </c>
      <c r="M729" s="2">
        <v>61</v>
      </c>
      <c r="N729" s="2">
        <v>40</v>
      </c>
      <c r="O729" s="2">
        <v>265</v>
      </c>
      <c r="P729" s="2">
        <v>707</v>
      </c>
      <c r="Q729" s="2">
        <f t="shared" si="57"/>
        <v>366</v>
      </c>
      <c r="R729" s="2">
        <f t="shared" si="55"/>
        <v>1073</v>
      </c>
      <c r="S729" t="str">
        <f t="shared" si="59"/>
        <v>Highly Active</v>
      </c>
      <c r="T729" s="2">
        <v>2335</v>
      </c>
    </row>
    <row r="730" spans="1:20" x14ac:dyDescent="0.25">
      <c r="A730" s="2">
        <v>5553957443</v>
      </c>
      <c r="B730" s="3">
        <v>42501</v>
      </c>
      <c r="C730" t="str">
        <f t="shared" si="56"/>
        <v>Wednesday</v>
      </c>
      <c r="D730" t="str">
        <f t="shared" si="58"/>
        <v>Weekday</v>
      </c>
      <c r="E730" s="2">
        <v>4926</v>
      </c>
      <c r="F730" s="2">
        <v>3.2200000289999999</v>
      </c>
      <c r="G730" s="2">
        <v>3.2200000289999999</v>
      </c>
      <c r="H730" s="2">
        <v>0</v>
      </c>
      <c r="I730" s="2">
        <v>0</v>
      </c>
      <c r="J730" s="2">
        <v>0</v>
      </c>
      <c r="K730" s="2">
        <v>3.2200000289999999</v>
      </c>
      <c r="L730" s="2">
        <v>0</v>
      </c>
      <c r="M730" s="2">
        <v>0</v>
      </c>
      <c r="N730" s="2">
        <v>0</v>
      </c>
      <c r="O730" s="2">
        <v>195</v>
      </c>
      <c r="P730" s="2">
        <v>628</v>
      </c>
      <c r="Q730" s="2">
        <f t="shared" si="57"/>
        <v>195</v>
      </c>
      <c r="R730" s="2">
        <f t="shared" si="55"/>
        <v>823</v>
      </c>
      <c r="S730" t="str">
        <f t="shared" si="59"/>
        <v>Sedentary</v>
      </c>
      <c r="T730" s="2">
        <v>1693</v>
      </c>
    </row>
    <row r="731" spans="1:20" x14ac:dyDescent="0.25">
      <c r="A731" s="2">
        <v>5577150313</v>
      </c>
      <c r="B731" s="3">
        <v>42461</v>
      </c>
      <c r="C731" t="str">
        <f t="shared" si="56"/>
        <v>Friday</v>
      </c>
      <c r="D731" t="str">
        <f t="shared" si="58"/>
        <v>Weekday</v>
      </c>
      <c r="E731" s="2">
        <v>10461</v>
      </c>
      <c r="F731" s="2">
        <v>7.8699998860000004</v>
      </c>
      <c r="G731" s="2">
        <v>7.8699998860000004</v>
      </c>
      <c r="H731" s="2">
        <v>0</v>
      </c>
      <c r="I731" s="2">
        <v>4.7600002290000001</v>
      </c>
      <c r="J731" s="2">
        <v>0.85000002399999997</v>
      </c>
      <c r="K731" s="2">
        <v>2.25</v>
      </c>
      <c r="L731" s="2">
        <v>0</v>
      </c>
      <c r="M731" s="2">
        <v>99</v>
      </c>
      <c r="N731" s="2">
        <v>31</v>
      </c>
      <c r="O731" s="2">
        <v>142</v>
      </c>
      <c r="P731" s="2">
        <v>721</v>
      </c>
      <c r="Q731" s="2">
        <f t="shared" si="57"/>
        <v>272</v>
      </c>
      <c r="R731" s="2">
        <f t="shared" si="55"/>
        <v>993</v>
      </c>
      <c r="S731" t="str">
        <f t="shared" si="59"/>
        <v>Highly Active</v>
      </c>
      <c r="T731" s="2">
        <v>3625</v>
      </c>
    </row>
    <row r="732" spans="1:20" x14ac:dyDescent="0.25">
      <c r="A732" s="2">
        <v>5577150313</v>
      </c>
      <c r="B732" s="3">
        <v>42462</v>
      </c>
      <c r="C732" t="str">
        <f t="shared" si="56"/>
        <v>Saturday</v>
      </c>
      <c r="D732" t="str">
        <f t="shared" si="58"/>
        <v>Weekend</v>
      </c>
      <c r="E732" s="2">
        <v>14873</v>
      </c>
      <c r="F732" s="2">
        <v>11.10999966</v>
      </c>
      <c r="G732" s="2">
        <v>11.10999966</v>
      </c>
      <c r="H732" s="2">
        <v>0</v>
      </c>
      <c r="I732" s="2">
        <v>8.1899995800000003</v>
      </c>
      <c r="J732" s="2">
        <v>0.60000002399999997</v>
      </c>
      <c r="K732" s="2">
        <v>2.3099999430000002</v>
      </c>
      <c r="L732" s="2">
        <v>0</v>
      </c>
      <c r="M732" s="2">
        <v>202</v>
      </c>
      <c r="N732" s="2">
        <v>36</v>
      </c>
      <c r="O732" s="2">
        <v>153</v>
      </c>
      <c r="P732" s="2">
        <v>663</v>
      </c>
      <c r="Q732" s="2">
        <f t="shared" si="57"/>
        <v>391</v>
      </c>
      <c r="R732" s="2">
        <f t="shared" si="55"/>
        <v>1054</v>
      </c>
      <c r="S732" t="str">
        <f t="shared" si="59"/>
        <v>Highly Active</v>
      </c>
      <c r="T732" s="2">
        <v>4430</v>
      </c>
    </row>
    <row r="733" spans="1:20" x14ac:dyDescent="0.25">
      <c r="A733" s="2">
        <v>5577150313</v>
      </c>
      <c r="B733" s="3">
        <v>42463</v>
      </c>
      <c r="C733" t="str">
        <f t="shared" si="56"/>
        <v>Sunday</v>
      </c>
      <c r="D733" t="str">
        <f t="shared" si="58"/>
        <v>Weekend</v>
      </c>
      <c r="E733" s="2">
        <v>9917</v>
      </c>
      <c r="F733" s="2">
        <v>7.4099998469999999</v>
      </c>
      <c r="G733" s="2">
        <v>7.4099998469999999</v>
      </c>
      <c r="H733" s="2">
        <v>0</v>
      </c>
      <c r="I733" s="2">
        <v>1.9900000099999999</v>
      </c>
      <c r="J733" s="2">
        <v>0.97000002900000004</v>
      </c>
      <c r="K733" s="2">
        <v>4.4400000569999998</v>
      </c>
      <c r="L733" s="2">
        <v>0</v>
      </c>
      <c r="M733" s="2">
        <v>58</v>
      </c>
      <c r="N733" s="2">
        <v>27</v>
      </c>
      <c r="O733" s="2">
        <v>240</v>
      </c>
      <c r="P733" s="2">
        <v>700</v>
      </c>
      <c r="Q733" s="2">
        <f t="shared" si="57"/>
        <v>325</v>
      </c>
      <c r="R733" s="2">
        <f t="shared" si="55"/>
        <v>1025</v>
      </c>
      <c r="S733" t="str">
        <f t="shared" si="59"/>
        <v>Fairly Active</v>
      </c>
      <c r="T733" s="2">
        <v>3427</v>
      </c>
    </row>
    <row r="734" spans="1:20" x14ac:dyDescent="0.25">
      <c r="A734" s="2">
        <v>5577150313</v>
      </c>
      <c r="B734" s="3">
        <v>42464</v>
      </c>
      <c r="C734" t="str">
        <f t="shared" si="56"/>
        <v>Monday</v>
      </c>
      <c r="D734" t="str">
        <f t="shared" si="58"/>
        <v>Weekday</v>
      </c>
      <c r="E734" s="2">
        <v>7401</v>
      </c>
      <c r="F734" s="2">
        <v>5.5599999430000002</v>
      </c>
      <c r="G734" s="2">
        <v>5.5599999430000002</v>
      </c>
      <c r="H734" s="2">
        <v>0</v>
      </c>
      <c r="I734" s="2">
        <v>2.3199999330000001</v>
      </c>
      <c r="J734" s="2">
        <v>0.36000001399999998</v>
      </c>
      <c r="K734" s="2">
        <v>2.880000114</v>
      </c>
      <c r="L734" s="2">
        <v>0</v>
      </c>
      <c r="M734" s="2">
        <v>70</v>
      </c>
      <c r="N734" s="2">
        <v>19</v>
      </c>
      <c r="O734" s="2">
        <v>204</v>
      </c>
      <c r="P734" s="2">
        <v>689</v>
      </c>
      <c r="Q734" s="2">
        <f t="shared" si="57"/>
        <v>293</v>
      </c>
      <c r="R734" s="2">
        <f t="shared" si="55"/>
        <v>982</v>
      </c>
      <c r="S734" t="str">
        <f t="shared" si="59"/>
        <v>Lightly Active</v>
      </c>
      <c r="T734" s="2">
        <v>3492</v>
      </c>
    </row>
    <row r="735" spans="1:20" x14ac:dyDescent="0.25">
      <c r="A735" s="2">
        <v>5577150313</v>
      </c>
      <c r="B735" s="3">
        <v>42465</v>
      </c>
      <c r="C735" t="str">
        <f t="shared" si="56"/>
        <v>Tuesday</v>
      </c>
      <c r="D735" t="str">
        <f t="shared" si="58"/>
        <v>Weekday</v>
      </c>
      <c r="E735" s="2">
        <v>8964</v>
      </c>
      <c r="F735" s="2">
        <v>6.6999998090000004</v>
      </c>
      <c r="G735" s="2">
        <v>6.6999998090000004</v>
      </c>
      <c r="H735" s="2">
        <v>0</v>
      </c>
      <c r="I735" s="2">
        <v>3.9700000289999999</v>
      </c>
      <c r="J735" s="2">
        <v>0.189999998</v>
      </c>
      <c r="K735" s="2">
        <v>2.5299999710000001</v>
      </c>
      <c r="L735" s="2">
        <v>0</v>
      </c>
      <c r="M735" s="2">
        <v>107</v>
      </c>
      <c r="N735" s="2">
        <v>18</v>
      </c>
      <c r="O735" s="2">
        <v>145</v>
      </c>
      <c r="P735" s="2">
        <v>756</v>
      </c>
      <c r="Q735" s="2">
        <f t="shared" si="57"/>
        <v>270</v>
      </c>
      <c r="R735" s="2">
        <f t="shared" si="55"/>
        <v>1026</v>
      </c>
      <c r="S735" t="str">
        <f t="shared" si="59"/>
        <v>Fairly Active</v>
      </c>
      <c r="T735" s="2">
        <v>3597</v>
      </c>
    </row>
    <row r="736" spans="1:20" x14ac:dyDescent="0.25">
      <c r="A736" s="2">
        <v>5577150313</v>
      </c>
      <c r="B736" s="3">
        <v>42466</v>
      </c>
      <c r="C736" t="str">
        <f t="shared" si="56"/>
        <v>Wednesday</v>
      </c>
      <c r="D736" t="str">
        <f t="shared" si="58"/>
        <v>Weekday</v>
      </c>
      <c r="E736" s="2">
        <v>11080</v>
      </c>
      <c r="F736" s="2">
        <v>8.3000001910000005</v>
      </c>
      <c r="G736" s="2">
        <v>8.3000001910000005</v>
      </c>
      <c r="H736" s="2">
        <v>0</v>
      </c>
      <c r="I736" s="2">
        <v>3.130000114</v>
      </c>
      <c r="J736" s="2">
        <v>1.3700000050000001</v>
      </c>
      <c r="K736" s="2">
        <v>3.8099999430000002</v>
      </c>
      <c r="L736" s="2">
        <v>0</v>
      </c>
      <c r="M736" s="2">
        <v>83</v>
      </c>
      <c r="N736" s="2">
        <v>52</v>
      </c>
      <c r="O736" s="2">
        <v>190</v>
      </c>
      <c r="P736" s="2">
        <v>695</v>
      </c>
      <c r="Q736" s="2">
        <f t="shared" si="57"/>
        <v>325</v>
      </c>
      <c r="R736" s="2">
        <f t="shared" si="55"/>
        <v>1020</v>
      </c>
      <c r="S736" t="str">
        <f t="shared" si="59"/>
        <v>Highly Active</v>
      </c>
      <c r="T736" s="2">
        <v>3765</v>
      </c>
    </row>
    <row r="737" spans="1:20" x14ac:dyDescent="0.25">
      <c r="A737" s="2">
        <v>5577150313</v>
      </c>
      <c r="B737" s="3">
        <v>42467</v>
      </c>
      <c r="C737" t="str">
        <f t="shared" si="56"/>
        <v>Thursday</v>
      </c>
      <c r="D737" t="str">
        <f t="shared" si="58"/>
        <v>Weekday</v>
      </c>
      <c r="E737" s="2">
        <v>4499</v>
      </c>
      <c r="F737" s="2">
        <v>3.3599998950000001</v>
      </c>
      <c r="G737" s="2">
        <v>3.3599998950000001</v>
      </c>
      <c r="H737" s="2">
        <v>0</v>
      </c>
      <c r="I737" s="2">
        <v>0.88999998599999997</v>
      </c>
      <c r="J737" s="2">
        <v>0.25999999000000001</v>
      </c>
      <c r="K737" s="2">
        <v>2.210000038</v>
      </c>
      <c r="L737" s="2">
        <v>0</v>
      </c>
      <c r="M737" s="2">
        <v>31</v>
      </c>
      <c r="N737" s="2">
        <v>11</v>
      </c>
      <c r="O737" s="2">
        <v>146</v>
      </c>
      <c r="P737" s="2">
        <v>756</v>
      </c>
      <c r="Q737" s="2">
        <f t="shared" si="57"/>
        <v>188</v>
      </c>
      <c r="R737" s="2">
        <f t="shared" ref="R737:R797" si="60">SUM(M737:P737)</f>
        <v>944</v>
      </c>
      <c r="S737" t="str">
        <f t="shared" si="59"/>
        <v>Sedentary</v>
      </c>
      <c r="T737" s="2">
        <v>2775</v>
      </c>
    </row>
    <row r="738" spans="1:20" x14ac:dyDescent="0.25">
      <c r="A738" s="2">
        <v>5577150313</v>
      </c>
      <c r="B738" s="3">
        <v>42468</v>
      </c>
      <c r="C738" t="str">
        <f t="shared" si="56"/>
        <v>Friday</v>
      </c>
      <c r="D738" t="str">
        <f t="shared" si="58"/>
        <v>Weekday</v>
      </c>
      <c r="E738" s="2">
        <v>4363</v>
      </c>
      <c r="F738" s="2">
        <v>3.2599999899999998</v>
      </c>
      <c r="G738" s="2">
        <v>3.2599999899999998</v>
      </c>
      <c r="H738" s="2">
        <v>0</v>
      </c>
      <c r="I738" s="2">
        <v>0.12999999500000001</v>
      </c>
      <c r="J738" s="2">
        <v>5.9999998999999998E-2</v>
      </c>
      <c r="K738" s="2">
        <v>3.079999924</v>
      </c>
      <c r="L738" s="2">
        <v>0</v>
      </c>
      <c r="M738" s="2">
        <v>8</v>
      </c>
      <c r="N738" s="2">
        <v>2</v>
      </c>
      <c r="O738" s="2">
        <v>156</v>
      </c>
      <c r="P738" s="2">
        <v>813</v>
      </c>
      <c r="Q738" s="2">
        <f t="shared" si="57"/>
        <v>166</v>
      </c>
      <c r="R738" s="2">
        <f t="shared" si="60"/>
        <v>979</v>
      </c>
      <c r="S738" t="str">
        <f t="shared" si="59"/>
        <v>Sedentary</v>
      </c>
      <c r="T738" s="2">
        <v>2486</v>
      </c>
    </row>
    <row r="739" spans="1:20" x14ac:dyDescent="0.25">
      <c r="A739" s="2">
        <v>5577150313</v>
      </c>
      <c r="B739" s="3">
        <v>42469</v>
      </c>
      <c r="C739" t="str">
        <f t="shared" si="56"/>
        <v>Saturday</v>
      </c>
      <c r="D739" t="str">
        <f t="shared" si="58"/>
        <v>Weekend</v>
      </c>
      <c r="E739" s="2">
        <v>10494</v>
      </c>
      <c r="F739" s="2">
        <v>7.8400001530000001</v>
      </c>
      <c r="G739" s="2">
        <v>7.8400001530000001</v>
      </c>
      <c r="H739" s="2">
        <v>0</v>
      </c>
      <c r="I739" s="2">
        <v>4.9099998469999999</v>
      </c>
      <c r="J739" s="2">
        <v>0.77999997099999996</v>
      </c>
      <c r="K739" s="2">
        <v>2.1500000950000002</v>
      </c>
      <c r="L739" s="2">
        <v>0</v>
      </c>
      <c r="M739" s="2">
        <v>123</v>
      </c>
      <c r="N739" s="2">
        <v>62</v>
      </c>
      <c r="O739" s="2">
        <v>138</v>
      </c>
      <c r="P739" s="2">
        <v>601</v>
      </c>
      <c r="Q739" s="2">
        <f t="shared" si="57"/>
        <v>323</v>
      </c>
      <c r="R739" s="2">
        <f t="shared" si="60"/>
        <v>924</v>
      </c>
      <c r="S739" t="str">
        <f t="shared" si="59"/>
        <v>Highly Active</v>
      </c>
      <c r="T739" s="2">
        <v>3817</v>
      </c>
    </row>
    <row r="740" spans="1:20" x14ac:dyDescent="0.25">
      <c r="A740" s="2">
        <v>5577150313</v>
      </c>
      <c r="B740" s="3">
        <v>42470</v>
      </c>
      <c r="C740" t="str">
        <f t="shared" si="56"/>
        <v>Sunday</v>
      </c>
      <c r="D740" t="str">
        <f t="shared" si="58"/>
        <v>Weekend</v>
      </c>
      <c r="E740" s="2">
        <v>9776</v>
      </c>
      <c r="F740" s="2">
        <v>7.3800001139999996</v>
      </c>
      <c r="G740" s="2">
        <v>7.3800001139999996</v>
      </c>
      <c r="H740" s="2">
        <v>0</v>
      </c>
      <c r="I740" s="2">
        <v>2.9300000669999999</v>
      </c>
      <c r="J740" s="2">
        <v>1.4299999480000001</v>
      </c>
      <c r="K740" s="2">
        <v>3.0199999809999998</v>
      </c>
      <c r="L740" s="2">
        <v>0</v>
      </c>
      <c r="M740" s="2">
        <v>80</v>
      </c>
      <c r="N740" s="2">
        <v>35</v>
      </c>
      <c r="O740" s="2">
        <v>162</v>
      </c>
      <c r="P740" s="2">
        <v>721</v>
      </c>
      <c r="Q740" s="2">
        <f t="shared" si="57"/>
        <v>277</v>
      </c>
      <c r="R740" s="2">
        <f t="shared" si="60"/>
        <v>998</v>
      </c>
      <c r="S740" t="str">
        <f t="shared" si="59"/>
        <v>Fairly Active</v>
      </c>
      <c r="T740" s="2">
        <v>3378</v>
      </c>
    </row>
    <row r="741" spans="1:20" x14ac:dyDescent="0.25">
      <c r="A741" s="2">
        <v>5577150313</v>
      </c>
      <c r="B741" s="3">
        <v>42472</v>
      </c>
      <c r="C741" t="str">
        <f t="shared" ref="C741:C802" si="61">CHOOSE(WEEKDAY(B741), "Sunday", "Monday", "Tuesday", "Wednesday", "Thursday", "Friday", "Saturday")</f>
        <v>Tuesday</v>
      </c>
      <c r="D741" t="str">
        <f t="shared" si="58"/>
        <v>Weekday</v>
      </c>
      <c r="E741" s="2">
        <v>8135</v>
      </c>
      <c r="F741" s="2">
        <v>6.079999924</v>
      </c>
      <c r="G741" s="2">
        <v>6.079999924</v>
      </c>
      <c r="H741" s="2">
        <v>0</v>
      </c>
      <c r="I741" s="2">
        <v>3.5999999049999998</v>
      </c>
      <c r="J741" s="2">
        <v>0.37999999499999998</v>
      </c>
      <c r="K741" s="2">
        <v>2.0999999049999998</v>
      </c>
      <c r="L741" s="2">
        <v>0</v>
      </c>
      <c r="M741" s="2">
        <v>86</v>
      </c>
      <c r="N741" s="2">
        <v>16</v>
      </c>
      <c r="O741" s="2">
        <v>140</v>
      </c>
      <c r="P741" s="2">
        <v>728</v>
      </c>
      <c r="Q741" s="2">
        <f t="shared" ref="Q741:Q802" si="62">SUM(M741:O741)</f>
        <v>242</v>
      </c>
      <c r="R741" s="2">
        <f t="shared" si="60"/>
        <v>970</v>
      </c>
      <c r="S741" t="str">
        <f t="shared" si="59"/>
        <v>Fairly Active</v>
      </c>
      <c r="T741" s="2">
        <v>3405</v>
      </c>
    </row>
    <row r="742" spans="1:20" x14ac:dyDescent="0.25">
      <c r="A742" s="2">
        <v>5577150313</v>
      </c>
      <c r="B742" s="3">
        <v>42473</v>
      </c>
      <c r="C742" t="str">
        <f t="shared" si="61"/>
        <v>Wednesday</v>
      </c>
      <c r="D742" t="str">
        <f t="shared" si="58"/>
        <v>Weekday</v>
      </c>
      <c r="E742" s="2">
        <v>5077</v>
      </c>
      <c r="F742" s="2">
        <v>3.789999962</v>
      </c>
      <c r="G742" s="2">
        <v>3.789999962</v>
      </c>
      <c r="H742" s="2">
        <v>0</v>
      </c>
      <c r="I742" s="2">
        <v>0.31999999299999998</v>
      </c>
      <c r="J742" s="2">
        <v>0.219999999</v>
      </c>
      <c r="K742" s="2">
        <v>3.25</v>
      </c>
      <c r="L742" s="2">
        <v>0</v>
      </c>
      <c r="M742" s="2">
        <v>15</v>
      </c>
      <c r="N742" s="2">
        <v>11</v>
      </c>
      <c r="O742" s="2">
        <v>144</v>
      </c>
      <c r="P742" s="2">
        <v>776</v>
      </c>
      <c r="Q742" s="2">
        <f t="shared" si="62"/>
        <v>170</v>
      </c>
      <c r="R742" s="2">
        <f t="shared" si="60"/>
        <v>946</v>
      </c>
      <c r="S742" t="str">
        <f t="shared" si="59"/>
        <v>Lightly Active</v>
      </c>
      <c r="T742" s="2">
        <v>2551</v>
      </c>
    </row>
    <row r="743" spans="1:20" x14ac:dyDescent="0.25">
      <c r="A743" s="2">
        <v>5577150313</v>
      </c>
      <c r="B743" s="3">
        <v>42474</v>
      </c>
      <c r="C743" t="str">
        <f t="shared" si="61"/>
        <v>Thursday</v>
      </c>
      <c r="D743" t="str">
        <f t="shared" si="58"/>
        <v>Weekday</v>
      </c>
      <c r="E743" s="2">
        <v>8596</v>
      </c>
      <c r="F743" s="2">
        <v>6.420000076</v>
      </c>
      <c r="G743" s="2">
        <v>6.420000076</v>
      </c>
      <c r="H743" s="2">
        <v>0</v>
      </c>
      <c r="I743" s="2">
        <v>3.329999924</v>
      </c>
      <c r="J743" s="2">
        <v>0.310000002</v>
      </c>
      <c r="K743" s="2">
        <v>2.7799999710000001</v>
      </c>
      <c r="L743" s="2">
        <v>0</v>
      </c>
      <c r="M743" s="2">
        <v>118</v>
      </c>
      <c r="N743" s="2">
        <v>30</v>
      </c>
      <c r="O743" s="2">
        <v>176</v>
      </c>
      <c r="P743" s="2">
        <v>662</v>
      </c>
      <c r="Q743" s="2">
        <f t="shared" si="62"/>
        <v>324</v>
      </c>
      <c r="R743" s="2">
        <f t="shared" si="60"/>
        <v>986</v>
      </c>
      <c r="S743" t="str">
        <f t="shared" si="59"/>
        <v>Fairly Active</v>
      </c>
      <c r="T743" s="2">
        <v>4022</v>
      </c>
    </row>
    <row r="744" spans="1:20" x14ac:dyDescent="0.25">
      <c r="A744" s="2">
        <v>5577150313</v>
      </c>
      <c r="B744" s="3">
        <v>42475</v>
      </c>
      <c r="C744" t="str">
        <f t="shared" si="61"/>
        <v>Friday</v>
      </c>
      <c r="D744" t="str">
        <f t="shared" si="58"/>
        <v>Weekday</v>
      </c>
      <c r="E744" s="2">
        <v>12087</v>
      </c>
      <c r="F744" s="2">
        <v>9.0799999239999991</v>
      </c>
      <c r="G744" s="2">
        <v>9.0799999239999991</v>
      </c>
      <c r="H744" s="2">
        <v>0</v>
      </c>
      <c r="I744" s="2">
        <v>3.920000076</v>
      </c>
      <c r="J744" s="2">
        <v>1.6000000240000001</v>
      </c>
      <c r="K744" s="2">
        <v>3.5599999430000002</v>
      </c>
      <c r="L744" s="2">
        <v>0</v>
      </c>
      <c r="M744" s="2">
        <v>115</v>
      </c>
      <c r="N744" s="2">
        <v>54</v>
      </c>
      <c r="O744" s="2">
        <v>199</v>
      </c>
      <c r="P744" s="2">
        <v>695</v>
      </c>
      <c r="Q744" s="2">
        <f t="shared" si="62"/>
        <v>368</v>
      </c>
      <c r="R744" s="2">
        <f t="shared" si="60"/>
        <v>1063</v>
      </c>
      <c r="S744" t="str">
        <f t="shared" si="59"/>
        <v>Highly Active</v>
      </c>
      <c r="T744" s="2">
        <v>4005</v>
      </c>
    </row>
    <row r="745" spans="1:20" x14ac:dyDescent="0.25">
      <c r="A745" s="2">
        <v>5577150313</v>
      </c>
      <c r="B745" s="3">
        <v>42476</v>
      </c>
      <c r="C745" t="str">
        <f t="shared" si="61"/>
        <v>Saturday</v>
      </c>
      <c r="D745" t="str">
        <f t="shared" si="58"/>
        <v>Weekend</v>
      </c>
      <c r="E745" s="2">
        <v>14269</v>
      </c>
      <c r="F745" s="2">
        <v>10.65999985</v>
      </c>
      <c r="G745" s="2">
        <v>10.65999985</v>
      </c>
      <c r="H745" s="2">
        <v>0</v>
      </c>
      <c r="I745" s="2">
        <v>6.6399998660000001</v>
      </c>
      <c r="J745" s="2">
        <v>1.2799999710000001</v>
      </c>
      <c r="K745" s="2">
        <v>2.7300000190000002</v>
      </c>
      <c r="L745" s="2">
        <v>0</v>
      </c>
      <c r="M745" s="2">
        <v>184</v>
      </c>
      <c r="N745" s="2">
        <v>56</v>
      </c>
      <c r="O745" s="2">
        <v>158</v>
      </c>
      <c r="P745" s="2">
        <v>472</v>
      </c>
      <c r="Q745" s="2">
        <f t="shared" si="62"/>
        <v>398</v>
      </c>
      <c r="R745" s="2">
        <f t="shared" si="60"/>
        <v>870</v>
      </c>
      <c r="S745" t="str">
        <f t="shared" si="59"/>
        <v>Highly Active</v>
      </c>
      <c r="T745" s="2">
        <v>4274</v>
      </c>
    </row>
    <row r="746" spans="1:20" x14ac:dyDescent="0.25">
      <c r="A746" s="2">
        <v>5577150313</v>
      </c>
      <c r="B746" s="3">
        <v>42477</v>
      </c>
      <c r="C746" t="str">
        <f t="shared" si="61"/>
        <v>Sunday</v>
      </c>
      <c r="D746" t="str">
        <f t="shared" si="58"/>
        <v>Weekend</v>
      </c>
      <c r="E746" s="2">
        <v>12231</v>
      </c>
      <c r="F746" s="2">
        <v>9.1400003430000005</v>
      </c>
      <c r="G746" s="2">
        <v>9.1400003430000005</v>
      </c>
      <c r="H746" s="2">
        <v>0</v>
      </c>
      <c r="I746" s="2">
        <v>5.9800000190000002</v>
      </c>
      <c r="J746" s="2">
        <v>0.829999983</v>
      </c>
      <c r="K746" s="2">
        <v>2.3199999330000001</v>
      </c>
      <c r="L746" s="2">
        <v>0</v>
      </c>
      <c r="M746" s="2">
        <v>200</v>
      </c>
      <c r="N746" s="2">
        <v>37</v>
      </c>
      <c r="O746" s="2">
        <v>159</v>
      </c>
      <c r="P746" s="2">
        <v>525</v>
      </c>
      <c r="Q746" s="2">
        <f t="shared" si="62"/>
        <v>396</v>
      </c>
      <c r="R746" s="2">
        <f t="shared" si="60"/>
        <v>921</v>
      </c>
      <c r="S746" t="str">
        <f t="shared" si="59"/>
        <v>Highly Active</v>
      </c>
      <c r="T746" s="2">
        <v>4552</v>
      </c>
    </row>
    <row r="747" spans="1:20" x14ac:dyDescent="0.25">
      <c r="A747" s="2">
        <v>5577150313</v>
      </c>
      <c r="B747" s="3">
        <v>42478</v>
      </c>
      <c r="C747" t="str">
        <f t="shared" si="61"/>
        <v>Monday</v>
      </c>
      <c r="D747" t="str">
        <f t="shared" si="58"/>
        <v>Weekday</v>
      </c>
      <c r="E747" s="2">
        <v>9893</v>
      </c>
      <c r="F747" s="2">
        <v>7.3899998660000001</v>
      </c>
      <c r="G747" s="2">
        <v>7.3899998660000001</v>
      </c>
      <c r="H747" s="2">
        <v>0</v>
      </c>
      <c r="I747" s="2">
        <v>4.8600001339999999</v>
      </c>
      <c r="J747" s="2">
        <v>0.72000002900000004</v>
      </c>
      <c r="K747" s="2">
        <v>1.8200000519999999</v>
      </c>
      <c r="L747" s="2">
        <v>0</v>
      </c>
      <c r="M747" s="2">
        <v>114</v>
      </c>
      <c r="N747" s="2">
        <v>32</v>
      </c>
      <c r="O747" s="2">
        <v>130</v>
      </c>
      <c r="P747" s="2">
        <v>623</v>
      </c>
      <c r="Q747" s="2">
        <f t="shared" si="62"/>
        <v>276</v>
      </c>
      <c r="R747" s="2">
        <f t="shared" si="60"/>
        <v>899</v>
      </c>
      <c r="S747" t="str">
        <f t="shared" si="59"/>
        <v>Fairly Active</v>
      </c>
      <c r="T747" s="2">
        <v>3625</v>
      </c>
    </row>
    <row r="748" spans="1:20" x14ac:dyDescent="0.25">
      <c r="A748" s="2">
        <v>5577150313</v>
      </c>
      <c r="B748" s="3">
        <v>42479</v>
      </c>
      <c r="C748" t="str">
        <f t="shared" si="61"/>
        <v>Tuesday</v>
      </c>
      <c r="D748" t="str">
        <f t="shared" si="58"/>
        <v>Weekday</v>
      </c>
      <c r="E748" s="2">
        <v>12574</v>
      </c>
      <c r="F748" s="2">
        <v>9.4200000760000009</v>
      </c>
      <c r="G748" s="2">
        <v>9.4200000760000009</v>
      </c>
      <c r="H748" s="2">
        <v>0</v>
      </c>
      <c r="I748" s="2">
        <v>7.0199999809999998</v>
      </c>
      <c r="J748" s="2">
        <v>0.63999998599999997</v>
      </c>
      <c r="K748" s="2">
        <v>1.7599999900000001</v>
      </c>
      <c r="L748" s="2">
        <v>0</v>
      </c>
      <c r="M748" s="2">
        <v>108</v>
      </c>
      <c r="N748" s="2">
        <v>23</v>
      </c>
      <c r="O748" s="2">
        <v>111</v>
      </c>
      <c r="P748" s="2">
        <v>733</v>
      </c>
      <c r="Q748" s="2">
        <f t="shared" si="62"/>
        <v>242</v>
      </c>
      <c r="R748" s="2">
        <f t="shared" si="60"/>
        <v>975</v>
      </c>
      <c r="S748" t="str">
        <f t="shared" si="59"/>
        <v>Highly Active</v>
      </c>
      <c r="T748" s="2">
        <v>3501</v>
      </c>
    </row>
    <row r="749" spans="1:20" x14ac:dyDescent="0.25">
      <c r="A749" s="2">
        <v>5577150313</v>
      </c>
      <c r="B749" s="3">
        <v>42480</v>
      </c>
      <c r="C749" t="str">
        <f t="shared" si="61"/>
        <v>Wednesday</v>
      </c>
      <c r="D749" t="str">
        <f t="shared" si="58"/>
        <v>Weekday</v>
      </c>
      <c r="E749" s="2">
        <v>8330</v>
      </c>
      <c r="F749" s="2">
        <v>6.2199997900000001</v>
      </c>
      <c r="G749" s="2">
        <v>6.2199997900000001</v>
      </c>
      <c r="H749" s="2">
        <v>0</v>
      </c>
      <c r="I749" s="2">
        <v>4.1199998860000004</v>
      </c>
      <c r="J749" s="2">
        <v>0.34000000400000002</v>
      </c>
      <c r="K749" s="2">
        <v>1.7599999900000001</v>
      </c>
      <c r="L749" s="2">
        <v>0</v>
      </c>
      <c r="M749" s="2">
        <v>87</v>
      </c>
      <c r="N749" s="2">
        <v>16</v>
      </c>
      <c r="O749" s="2">
        <v>113</v>
      </c>
      <c r="P749" s="2">
        <v>773</v>
      </c>
      <c r="Q749" s="2">
        <f t="shared" si="62"/>
        <v>216</v>
      </c>
      <c r="R749" s="2">
        <f t="shared" si="60"/>
        <v>989</v>
      </c>
      <c r="S749" t="str">
        <f t="shared" si="59"/>
        <v>Fairly Active</v>
      </c>
      <c r="T749" s="2">
        <v>3192</v>
      </c>
    </row>
    <row r="750" spans="1:20" x14ac:dyDescent="0.25">
      <c r="A750" s="2">
        <v>5577150313</v>
      </c>
      <c r="B750" s="3">
        <v>42481</v>
      </c>
      <c r="C750" t="str">
        <f t="shared" si="61"/>
        <v>Thursday</v>
      </c>
      <c r="D750" t="str">
        <f t="shared" si="58"/>
        <v>Weekday</v>
      </c>
      <c r="E750" s="2">
        <v>10830</v>
      </c>
      <c r="F750" s="2">
        <v>8.0900001530000001</v>
      </c>
      <c r="G750" s="2">
        <v>8.0900001530000001</v>
      </c>
      <c r="H750" s="2">
        <v>0</v>
      </c>
      <c r="I750" s="2">
        <v>3.6500000950000002</v>
      </c>
      <c r="J750" s="2">
        <v>1.6599999670000001</v>
      </c>
      <c r="K750" s="2">
        <v>2.7799999710000001</v>
      </c>
      <c r="L750" s="2">
        <v>0</v>
      </c>
      <c r="M750" s="2">
        <v>110</v>
      </c>
      <c r="N750" s="2">
        <v>74</v>
      </c>
      <c r="O750" s="2">
        <v>175</v>
      </c>
      <c r="P750" s="2">
        <v>670</v>
      </c>
      <c r="Q750" s="2">
        <f t="shared" si="62"/>
        <v>359</v>
      </c>
      <c r="R750" s="2">
        <f t="shared" si="60"/>
        <v>1029</v>
      </c>
      <c r="S750" t="str">
        <f t="shared" si="59"/>
        <v>Highly Active</v>
      </c>
      <c r="T750" s="2">
        <v>4018</v>
      </c>
    </row>
    <row r="751" spans="1:20" x14ac:dyDescent="0.25">
      <c r="A751" s="2">
        <v>5577150313</v>
      </c>
      <c r="B751" s="3">
        <v>42482</v>
      </c>
      <c r="C751" t="str">
        <f t="shared" si="61"/>
        <v>Friday</v>
      </c>
      <c r="D751" t="str">
        <f t="shared" si="58"/>
        <v>Weekday</v>
      </c>
      <c r="E751" s="2">
        <v>9172</v>
      </c>
      <c r="F751" s="2">
        <v>6.8499999049999998</v>
      </c>
      <c r="G751" s="2">
        <v>6.8499999049999998</v>
      </c>
      <c r="H751" s="2">
        <v>0</v>
      </c>
      <c r="I751" s="2">
        <v>2.420000076</v>
      </c>
      <c r="J751" s="2">
        <v>0.790000021</v>
      </c>
      <c r="K751" s="2">
        <v>3.2999999519999998</v>
      </c>
      <c r="L751" s="2">
        <v>0</v>
      </c>
      <c r="M751" s="2">
        <v>62</v>
      </c>
      <c r="N751" s="2">
        <v>30</v>
      </c>
      <c r="O751" s="2">
        <v>200</v>
      </c>
      <c r="P751" s="2">
        <v>823</v>
      </c>
      <c r="Q751" s="2">
        <f t="shared" si="62"/>
        <v>292</v>
      </c>
      <c r="R751" s="2">
        <f t="shared" si="60"/>
        <v>1115</v>
      </c>
      <c r="S751" t="str">
        <f t="shared" si="59"/>
        <v>Fairly Active</v>
      </c>
      <c r="T751" s="2">
        <v>3329</v>
      </c>
    </row>
    <row r="752" spans="1:20" x14ac:dyDescent="0.25">
      <c r="A752" s="2">
        <v>5577150313</v>
      </c>
      <c r="B752" s="3">
        <v>42483</v>
      </c>
      <c r="C752" t="str">
        <f t="shared" si="61"/>
        <v>Saturday</v>
      </c>
      <c r="D752" t="str">
        <f t="shared" si="58"/>
        <v>Weekend</v>
      </c>
      <c r="E752" s="2">
        <v>7638</v>
      </c>
      <c r="F752" s="2">
        <v>5.7100000380000004</v>
      </c>
      <c r="G752" s="2">
        <v>5.7100000380000004</v>
      </c>
      <c r="H752" s="2">
        <v>0</v>
      </c>
      <c r="I752" s="2">
        <v>1.210000038</v>
      </c>
      <c r="J752" s="2">
        <v>0.36000001399999998</v>
      </c>
      <c r="K752" s="2">
        <v>4.1399998660000001</v>
      </c>
      <c r="L752" s="2">
        <v>0</v>
      </c>
      <c r="M752" s="2">
        <v>24</v>
      </c>
      <c r="N752" s="2">
        <v>24</v>
      </c>
      <c r="O752" s="2">
        <v>223</v>
      </c>
      <c r="P752" s="2">
        <v>627</v>
      </c>
      <c r="Q752" s="2">
        <f t="shared" si="62"/>
        <v>271</v>
      </c>
      <c r="R752" s="2">
        <f t="shared" si="60"/>
        <v>898</v>
      </c>
      <c r="S752" t="str">
        <f t="shared" si="59"/>
        <v>Fairly Active</v>
      </c>
      <c r="T752" s="2">
        <v>3152</v>
      </c>
    </row>
    <row r="753" spans="1:20" x14ac:dyDescent="0.25">
      <c r="A753" s="2">
        <v>5577150313</v>
      </c>
      <c r="B753" s="3">
        <v>42484</v>
      </c>
      <c r="C753" t="str">
        <f t="shared" si="61"/>
        <v>Sunday</v>
      </c>
      <c r="D753" t="str">
        <f t="shared" si="58"/>
        <v>Weekend</v>
      </c>
      <c r="E753" s="2">
        <v>15764</v>
      </c>
      <c r="F753" s="2">
        <v>11.77999973</v>
      </c>
      <c r="G753" s="2">
        <v>11.77999973</v>
      </c>
      <c r="H753" s="2">
        <v>0</v>
      </c>
      <c r="I753" s="2">
        <v>7.6500000950000002</v>
      </c>
      <c r="J753" s="2">
        <v>2.1500000950000002</v>
      </c>
      <c r="K753" s="2">
        <v>1.980000019</v>
      </c>
      <c r="L753" s="2">
        <v>0</v>
      </c>
      <c r="M753" s="2">
        <v>210</v>
      </c>
      <c r="N753" s="2">
        <v>65</v>
      </c>
      <c r="O753" s="2">
        <v>141</v>
      </c>
      <c r="P753" s="2">
        <v>425</v>
      </c>
      <c r="Q753" s="2">
        <f t="shared" si="62"/>
        <v>416</v>
      </c>
      <c r="R753" s="2">
        <f t="shared" si="60"/>
        <v>841</v>
      </c>
      <c r="S753" t="str">
        <f t="shared" si="59"/>
        <v>Highly Active</v>
      </c>
      <c r="T753" s="2">
        <v>4392</v>
      </c>
    </row>
    <row r="754" spans="1:20" x14ac:dyDescent="0.25">
      <c r="A754" s="2">
        <v>5577150313</v>
      </c>
      <c r="B754" s="3">
        <v>42485</v>
      </c>
      <c r="C754" t="str">
        <f t="shared" si="61"/>
        <v>Monday</v>
      </c>
      <c r="D754" t="str">
        <f t="shared" si="58"/>
        <v>Weekday</v>
      </c>
      <c r="E754" s="2">
        <v>6393</v>
      </c>
      <c r="F754" s="2">
        <v>4.7800002099999999</v>
      </c>
      <c r="G754" s="2">
        <v>4.7800002099999999</v>
      </c>
      <c r="H754" s="2">
        <v>0</v>
      </c>
      <c r="I754" s="2">
        <v>1.3500000240000001</v>
      </c>
      <c r="J754" s="2">
        <v>0.670000017</v>
      </c>
      <c r="K754" s="2">
        <v>2.7599999899999998</v>
      </c>
      <c r="L754" s="2">
        <v>0</v>
      </c>
      <c r="M754" s="2">
        <v>61</v>
      </c>
      <c r="N754" s="2">
        <v>38</v>
      </c>
      <c r="O754" s="2">
        <v>214</v>
      </c>
      <c r="P754" s="2">
        <v>743</v>
      </c>
      <c r="Q754" s="2">
        <f t="shared" si="62"/>
        <v>313</v>
      </c>
      <c r="R754" s="2">
        <f t="shared" si="60"/>
        <v>1056</v>
      </c>
      <c r="S754" t="str">
        <f t="shared" si="59"/>
        <v>Lightly Active</v>
      </c>
      <c r="T754" s="2">
        <v>3374</v>
      </c>
    </row>
    <row r="755" spans="1:20" x14ac:dyDescent="0.25">
      <c r="A755" s="2">
        <v>5577150313</v>
      </c>
      <c r="B755" s="3">
        <v>42486</v>
      </c>
      <c r="C755" t="str">
        <f t="shared" si="61"/>
        <v>Tuesday</v>
      </c>
      <c r="D755" t="str">
        <f t="shared" si="58"/>
        <v>Weekday</v>
      </c>
      <c r="E755" s="2">
        <v>5325</v>
      </c>
      <c r="F755" s="2">
        <v>3.9800000190000002</v>
      </c>
      <c r="G755" s="2">
        <v>3.9800000190000002</v>
      </c>
      <c r="H755" s="2">
        <v>0</v>
      </c>
      <c r="I755" s="2">
        <v>0.85000002399999997</v>
      </c>
      <c r="J755" s="2">
        <v>0.64999997600000003</v>
      </c>
      <c r="K755" s="2">
        <v>2.4700000289999999</v>
      </c>
      <c r="L755" s="2">
        <v>0</v>
      </c>
      <c r="M755" s="2">
        <v>38</v>
      </c>
      <c r="N755" s="2">
        <v>32</v>
      </c>
      <c r="O755" s="2">
        <v>181</v>
      </c>
      <c r="P755" s="2">
        <v>759</v>
      </c>
      <c r="Q755" s="2">
        <f t="shared" si="62"/>
        <v>251</v>
      </c>
      <c r="R755" s="2">
        <f t="shared" si="60"/>
        <v>1010</v>
      </c>
      <c r="S755" t="str">
        <f t="shared" si="59"/>
        <v>Lightly Active</v>
      </c>
      <c r="T755" s="2">
        <v>3088</v>
      </c>
    </row>
    <row r="756" spans="1:20" x14ac:dyDescent="0.25">
      <c r="A756" s="2">
        <v>5577150313</v>
      </c>
      <c r="B756" s="3">
        <v>42487</v>
      </c>
      <c r="C756" t="str">
        <f t="shared" si="61"/>
        <v>Wednesday</v>
      </c>
      <c r="D756" t="str">
        <f t="shared" si="58"/>
        <v>Weekday</v>
      </c>
      <c r="E756" s="2">
        <v>6805</v>
      </c>
      <c r="F756" s="2">
        <v>5.1399998660000001</v>
      </c>
      <c r="G756" s="2">
        <v>5.1399998660000001</v>
      </c>
      <c r="H756" s="2">
        <v>0</v>
      </c>
      <c r="I756" s="2">
        <v>1.809999943</v>
      </c>
      <c r="J756" s="2">
        <v>0.40000000600000002</v>
      </c>
      <c r="K756" s="2">
        <v>2.9300000669999999</v>
      </c>
      <c r="L756" s="2">
        <v>0</v>
      </c>
      <c r="M756" s="2">
        <v>63</v>
      </c>
      <c r="N756" s="2">
        <v>16</v>
      </c>
      <c r="O756" s="2">
        <v>190</v>
      </c>
      <c r="P756" s="2">
        <v>773</v>
      </c>
      <c r="Q756" s="2">
        <f t="shared" si="62"/>
        <v>269</v>
      </c>
      <c r="R756" s="2">
        <f t="shared" si="60"/>
        <v>1042</v>
      </c>
      <c r="S756" t="str">
        <f t="shared" si="59"/>
        <v>Lightly Active</v>
      </c>
      <c r="T756" s="2">
        <v>3294</v>
      </c>
    </row>
    <row r="757" spans="1:20" x14ac:dyDescent="0.25">
      <c r="A757" s="2">
        <v>5577150313</v>
      </c>
      <c r="B757" s="3">
        <v>42488</v>
      </c>
      <c r="C757" t="str">
        <f t="shared" si="61"/>
        <v>Thursday</v>
      </c>
      <c r="D757" t="str">
        <f t="shared" si="58"/>
        <v>Weekday</v>
      </c>
      <c r="E757" s="2">
        <v>9841</v>
      </c>
      <c r="F757" s="2">
        <v>7.4299998279999997</v>
      </c>
      <c r="G757" s="2">
        <v>7.4299998279999997</v>
      </c>
      <c r="H757" s="2">
        <v>0</v>
      </c>
      <c r="I757" s="2">
        <v>3.25</v>
      </c>
      <c r="J757" s="2">
        <v>1.1699999569999999</v>
      </c>
      <c r="K757" s="2">
        <v>3.0099999899999998</v>
      </c>
      <c r="L757" s="2">
        <v>0</v>
      </c>
      <c r="M757" s="2">
        <v>99</v>
      </c>
      <c r="N757" s="2">
        <v>51</v>
      </c>
      <c r="O757" s="2">
        <v>141</v>
      </c>
      <c r="P757" s="2">
        <v>692</v>
      </c>
      <c r="Q757" s="2">
        <f t="shared" si="62"/>
        <v>291</v>
      </c>
      <c r="R757" s="2">
        <f t="shared" si="60"/>
        <v>983</v>
      </c>
      <c r="S757" t="str">
        <f t="shared" si="59"/>
        <v>Fairly Active</v>
      </c>
      <c r="T757" s="2">
        <v>3580</v>
      </c>
    </row>
    <row r="758" spans="1:20" x14ac:dyDescent="0.25">
      <c r="A758" s="2">
        <v>5577150313</v>
      </c>
      <c r="B758" s="3">
        <v>42489</v>
      </c>
      <c r="C758" t="str">
        <f t="shared" si="61"/>
        <v>Friday</v>
      </c>
      <c r="D758" t="str">
        <f t="shared" si="58"/>
        <v>Weekday</v>
      </c>
      <c r="E758" s="2">
        <v>7924</v>
      </c>
      <c r="F758" s="2">
        <v>5.920000076</v>
      </c>
      <c r="G758" s="2">
        <v>5.920000076</v>
      </c>
      <c r="H758" s="2">
        <v>0</v>
      </c>
      <c r="I758" s="2">
        <v>2.8399999139999998</v>
      </c>
      <c r="J758" s="2">
        <v>0.61000001400000003</v>
      </c>
      <c r="K758" s="2">
        <v>2.4700000289999999</v>
      </c>
      <c r="L758" s="2">
        <v>0</v>
      </c>
      <c r="M758" s="2">
        <v>97</v>
      </c>
      <c r="N758" s="2">
        <v>36</v>
      </c>
      <c r="O758" s="2">
        <v>165</v>
      </c>
      <c r="P758" s="2">
        <v>739</v>
      </c>
      <c r="Q758" s="2">
        <f t="shared" si="62"/>
        <v>298</v>
      </c>
      <c r="R758" s="2">
        <f t="shared" si="60"/>
        <v>1037</v>
      </c>
      <c r="S758" t="str">
        <f t="shared" si="59"/>
        <v>Fairly Active</v>
      </c>
      <c r="T758" s="2">
        <v>3544</v>
      </c>
    </row>
    <row r="759" spans="1:20" x14ac:dyDescent="0.25">
      <c r="A759" s="2">
        <v>5577150313</v>
      </c>
      <c r="B759" s="3">
        <v>42490</v>
      </c>
      <c r="C759" t="str">
        <f t="shared" si="61"/>
        <v>Saturday</v>
      </c>
      <c r="D759" t="str">
        <f t="shared" si="58"/>
        <v>Weekend</v>
      </c>
      <c r="E759" s="2">
        <v>12363</v>
      </c>
      <c r="F759" s="2">
        <v>9.2399997710000008</v>
      </c>
      <c r="G759" s="2">
        <v>9.2399997710000008</v>
      </c>
      <c r="H759" s="2">
        <v>0</v>
      </c>
      <c r="I759" s="2">
        <v>5.829999924</v>
      </c>
      <c r="J759" s="2">
        <v>0.790000021</v>
      </c>
      <c r="K759" s="2">
        <v>2.6099998950000001</v>
      </c>
      <c r="L759" s="2">
        <v>0</v>
      </c>
      <c r="M759" s="2">
        <v>207</v>
      </c>
      <c r="N759" s="2">
        <v>45</v>
      </c>
      <c r="O759" s="2">
        <v>163</v>
      </c>
      <c r="P759" s="2">
        <v>621</v>
      </c>
      <c r="Q759" s="2">
        <f t="shared" si="62"/>
        <v>415</v>
      </c>
      <c r="R759" s="2">
        <f t="shared" si="60"/>
        <v>1036</v>
      </c>
      <c r="S759" t="str">
        <f t="shared" si="59"/>
        <v>Highly Active</v>
      </c>
      <c r="T759" s="2">
        <v>4501</v>
      </c>
    </row>
    <row r="760" spans="1:20" x14ac:dyDescent="0.25">
      <c r="A760" s="2">
        <v>5577150313</v>
      </c>
      <c r="B760" s="3">
        <v>42491</v>
      </c>
      <c r="C760" t="str">
        <f t="shared" si="61"/>
        <v>Sunday</v>
      </c>
      <c r="D760" t="str">
        <f t="shared" si="58"/>
        <v>Weekend</v>
      </c>
      <c r="E760" s="2">
        <v>13368</v>
      </c>
      <c r="F760" s="2">
        <v>9.9899997710000008</v>
      </c>
      <c r="G760" s="2">
        <v>9.9899997710000008</v>
      </c>
      <c r="H760" s="2">
        <v>0</v>
      </c>
      <c r="I760" s="2">
        <v>5.3099999430000002</v>
      </c>
      <c r="J760" s="2">
        <v>1.440000057</v>
      </c>
      <c r="K760" s="2">
        <v>3.2400000100000002</v>
      </c>
      <c r="L760" s="2">
        <v>0</v>
      </c>
      <c r="M760" s="2">
        <v>194</v>
      </c>
      <c r="N760" s="2">
        <v>72</v>
      </c>
      <c r="O760" s="2">
        <v>178</v>
      </c>
      <c r="P760" s="2">
        <v>499</v>
      </c>
      <c r="Q760" s="2">
        <f t="shared" si="62"/>
        <v>444</v>
      </c>
      <c r="R760" s="2">
        <f t="shared" si="60"/>
        <v>943</v>
      </c>
      <c r="S760" t="str">
        <f t="shared" si="59"/>
        <v>Highly Active</v>
      </c>
      <c r="T760" s="2">
        <v>4546</v>
      </c>
    </row>
    <row r="761" spans="1:20" x14ac:dyDescent="0.25">
      <c r="A761" s="2">
        <v>5577150313</v>
      </c>
      <c r="B761" s="3">
        <v>42492</v>
      </c>
      <c r="C761" t="str">
        <f t="shared" si="61"/>
        <v>Monday</v>
      </c>
      <c r="D761" t="str">
        <f t="shared" si="58"/>
        <v>Weekday</v>
      </c>
      <c r="E761" s="2">
        <v>7439</v>
      </c>
      <c r="F761" s="2">
        <v>5.5599999430000002</v>
      </c>
      <c r="G761" s="2">
        <v>5.5599999430000002</v>
      </c>
      <c r="H761" s="2">
        <v>0</v>
      </c>
      <c r="I761" s="2">
        <v>1.1200000050000001</v>
      </c>
      <c r="J761" s="2">
        <v>0.34999999399999998</v>
      </c>
      <c r="K761" s="2">
        <v>4.0700001720000003</v>
      </c>
      <c r="L761" s="2">
        <v>0</v>
      </c>
      <c r="M761" s="2">
        <v>37</v>
      </c>
      <c r="N761" s="2">
        <v>20</v>
      </c>
      <c r="O761" s="2">
        <v>235</v>
      </c>
      <c r="P761" s="2">
        <v>732</v>
      </c>
      <c r="Q761" s="2">
        <f t="shared" si="62"/>
        <v>292</v>
      </c>
      <c r="R761" s="2">
        <f t="shared" si="60"/>
        <v>1024</v>
      </c>
      <c r="S761" t="str">
        <f t="shared" si="59"/>
        <v>Lightly Active</v>
      </c>
      <c r="T761" s="2">
        <v>3014</v>
      </c>
    </row>
    <row r="762" spans="1:20" x14ac:dyDescent="0.25">
      <c r="A762" s="2">
        <v>5577150313</v>
      </c>
      <c r="B762" s="3">
        <v>42493</v>
      </c>
      <c r="C762" t="str">
        <f t="shared" si="61"/>
        <v>Tuesday</v>
      </c>
      <c r="D762" t="str">
        <f t="shared" si="58"/>
        <v>Weekday</v>
      </c>
      <c r="E762" s="2">
        <v>11045</v>
      </c>
      <c r="F762" s="2">
        <v>8.25</v>
      </c>
      <c r="G762" s="2">
        <v>8.25</v>
      </c>
      <c r="H762" s="2">
        <v>0</v>
      </c>
      <c r="I762" s="2">
        <v>4.5199999809999998</v>
      </c>
      <c r="J762" s="2">
        <v>0.15000000599999999</v>
      </c>
      <c r="K762" s="2">
        <v>3.5699999330000001</v>
      </c>
      <c r="L762" s="2">
        <v>0</v>
      </c>
      <c r="M762" s="2">
        <v>97</v>
      </c>
      <c r="N762" s="2">
        <v>8</v>
      </c>
      <c r="O762" s="2">
        <v>212</v>
      </c>
      <c r="P762" s="2">
        <v>580</v>
      </c>
      <c r="Q762" s="2">
        <f t="shared" si="62"/>
        <v>317</v>
      </c>
      <c r="R762" s="2">
        <f t="shared" si="60"/>
        <v>897</v>
      </c>
      <c r="S762" t="str">
        <f t="shared" si="59"/>
        <v>Highly Active</v>
      </c>
      <c r="T762" s="2">
        <v>3795</v>
      </c>
    </row>
    <row r="763" spans="1:20" x14ac:dyDescent="0.25">
      <c r="A763" s="2">
        <v>5577150313</v>
      </c>
      <c r="B763" s="3">
        <v>42494</v>
      </c>
      <c r="C763" t="str">
        <f t="shared" si="61"/>
        <v>Wednesday</v>
      </c>
      <c r="D763" t="str">
        <f t="shared" si="58"/>
        <v>Weekday</v>
      </c>
      <c r="E763" s="2">
        <v>5206</v>
      </c>
      <c r="F763" s="2">
        <v>3.8900001049999999</v>
      </c>
      <c r="G763" s="2">
        <v>3.8900001049999999</v>
      </c>
      <c r="H763" s="2">
        <v>0</v>
      </c>
      <c r="I763" s="2">
        <v>1.559999943</v>
      </c>
      <c r="J763" s="2">
        <v>0.25</v>
      </c>
      <c r="K763" s="2">
        <v>2.079999924</v>
      </c>
      <c r="L763" s="2">
        <v>0</v>
      </c>
      <c r="M763" s="2">
        <v>25</v>
      </c>
      <c r="N763" s="2">
        <v>9</v>
      </c>
      <c r="O763" s="2">
        <v>141</v>
      </c>
      <c r="P763" s="2">
        <v>631</v>
      </c>
      <c r="Q763" s="2">
        <f t="shared" si="62"/>
        <v>175</v>
      </c>
      <c r="R763" s="2">
        <f t="shared" si="60"/>
        <v>806</v>
      </c>
      <c r="S763" t="str">
        <f t="shared" si="59"/>
        <v>Lightly Active</v>
      </c>
      <c r="T763" s="2">
        <v>2755</v>
      </c>
    </row>
    <row r="764" spans="1:20" x14ac:dyDescent="0.25">
      <c r="A764" s="2">
        <v>5577150313</v>
      </c>
      <c r="B764" s="3">
        <v>42495</v>
      </c>
      <c r="C764" t="str">
        <f t="shared" si="61"/>
        <v>Thursday</v>
      </c>
      <c r="D764" t="str">
        <f t="shared" si="58"/>
        <v>Weekday</v>
      </c>
      <c r="E764" s="2">
        <v>7550</v>
      </c>
      <c r="F764" s="2">
        <v>5.6399998660000001</v>
      </c>
      <c r="G764" s="2">
        <v>5.6399998660000001</v>
      </c>
      <c r="H764" s="2">
        <v>0</v>
      </c>
      <c r="I764" s="2">
        <v>2.5</v>
      </c>
      <c r="J764" s="2">
        <v>0.469999999</v>
      </c>
      <c r="K764" s="2">
        <v>2.670000076</v>
      </c>
      <c r="L764" s="2">
        <v>0</v>
      </c>
      <c r="M764" s="2">
        <v>45</v>
      </c>
      <c r="N764" s="2">
        <v>21</v>
      </c>
      <c r="O764" s="2">
        <v>143</v>
      </c>
      <c r="P764" s="2">
        <v>1153</v>
      </c>
      <c r="Q764" s="2">
        <f t="shared" si="62"/>
        <v>209</v>
      </c>
      <c r="R764" s="2">
        <f t="shared" si="60"/>
        <v>1362</v>
      </c>
      <c r="S764" t="str">
        <f t="shared" si="59"/>
        <v>Fairly Active</v>
      </c>
      <c r="T764" s="2">
        <v>3004</v>
      </c>
    </row>
    <row r="765" spans="1:20" x14ac:dyDescent="0.25">
      <c r="A765" s="2">
        <v>5577150313</v>
      </c>
      <c r="B765" s="3">
        <v>42496</v>
      </c>
      <c r="C765" t="str">
        <f t="shared" si="61"/>
        <v>Friday</v>
      </c>
      <c r="D765" t="str">
        <f t="shared" si="58"/>
        <v>Weekday</v>
      </c>
      <c r="E765" s="2">
        <v>4950</v>
      </c>
      <c r="F765" s="2">
        <v>3.7000000480000002</v>
      </c>
      <c r="G765" s="2">
        <v>3.7000000480000002</v>
      </c>
      <c r="H765" s="2">
        <v>0</v>
      </c>
      <c r="I765" s="2">
        <v>1.9299999480000001</v>
      </c>
      <c r="J765" s="2">
        <v>0.31999999299999998</v>
      </c>
      <c r="K765" s="2">
        <v>1.4500000479999999</v>
      </c>
      <c r="L765" s="2">
        <v>0</v>
      </c>
      <c r="M765" s="2">
        <v>41</v>
      </c>
      <c r="N765" s="2">
        <v>16</v>
      </c>
      <c r="O765" s="2">
        <v>79</v>
      </c>
      <c r="P765" s="2">
        <v>1304</v>
      </c>
      <c r="Q765" s="2">
        <f t="shared" si="62"/>
        <v>136</v>
      </c>
      <c r="R765" s="2">
        <f t="shared" si="60"/>
        <v>1440</v>
      </c>
      <c r="S765" t="str">
        <f t="shared" si="59"/>
        <v>Sedentary</v>
      </c>
      <c r="T765" s="2">
        <v>2643</v>
      </c>
    </row>
    <row r="766" spans="1:20" x14ac:dyDescent="0.25">
      <c r="A766" s="2">
        <v>5577150313</v>
      </c>
      <c r="B766" s="3">
        <v>42499</v>
      </c>
      <c r="C766" t="str">
        <f t="shared" si="61"/>
        <v>Monday</v>
      </c>
      <c r="D766" t="str">
        <f t="shared" si="58"/>
        <v>Weekday</v>
      </c>
      <c r="E766" s="2">
        <v>3421</v>
      </c>
      <c r="F766" s="2">
        <v>2.5599999430000002</v>
      </c>
      <c r="G766" s="2">
        <v>2.5599999430000002</v>
      </c>
      <c r="H766" s="2">
        <v>0</v>
      </c>
      <c r="I766" s="2">
        <v>1.4299999480000001</v>
      </c>
      <c r="J766" s="2">
        <v>0.14000000100000001</v>
      </c>
      <c r="K766" s="2">
        <v>0.99000001000000004</v>
      </c>
      <c r="L766" s="2">
        <v>0</v>
      </c>
      <c r="M766" s="2">
        <v>34</v>
      </c>
      <c r="N766" s="2">
        <v>11</v>
      </c>
      <c r="O766" s="2">
        <v>70</v>
      </c>
      <c r="P766" s="2">
        <v>1099</v>
      </c>
      <c r="Q766" s="2">
        <f t="shared" si="62"/>
        <v>115</v>
      </c>
      <c r="R766" s="2">
        <f t="shared" si="60"/>
        <v>1214</v>
      </c>
      <c r="S766" t="str">
        <f t="shared" si="59"/>
        <v>Sedentary</v>
      </c>
      <c r="T766" s="2">
        <v>2489</v>
      </c>
    </row>
    <row r="767" spans="1:20" x14ac:dyDescent="0.25">
      <c r="A767" s="2">
        <v>5577150313</v>
      </c>
      <c r="B767" s="3">
        <v>42500</v>
      </c>
      <c r="C767" t="str">
        <f t="shared" si="61"/>
        <v>Tuesday</v>
      </c>
      <c r="D767" t="str">
        <f t="shared" si="58"/>
        <v>Weekday</v>
      </c>
      <c r="E767" s="2">
        <v>8869</v>
      </c>
      <c r="F767" s="2">
        <v>6.6500000950000002</v>
      </c>
      <c r="G767" s="2">
        <v>6.6500000950000002</v>
      </c>
      <c r="H767" s="2">
        <v>0</v>
      </c>
      <c r="I767" s="2">
        <v>2.5599999430000002</v>
      </c>
      <c r="J767" s="2">
        <v>0.75</v>
      </c>
      <c r="K767" s="2">
        <v>3.3499999049999998</v>
      </c>
      <c r="L767" s="2">
        <v>0</v>
      </c>
      <c r="M767" s="2">
        <v>104</v>
      </c>
      <c r="N767" s="2">
        <v>37</v>
      </c>
      <c r="O767" s="2">
        <v>194</v>
      </c>
      <c r="P767" s="2">
        <v>639</v>
      </c>
      <c r="Q767" s="2">
        <f t="shared" si="62"/>
        <v>335</v>
      </c>
      <c r="R767" s="2">
        <f t="shared" si="60"/>
        <v>974</v>
      </c>
      <c r="S767" t="str">
        <f t="shared" si="59"/>
        <v>Fairly Active</v>
      </c>
      <c r="T767" s="2">
        <v>3841</v>
      </c>
    </row>
    <row r="768" spans="1:20" x14ac:dyDescent="0.25">
      <c r="A768" s="2">
        <v>6117666160</v>
      </c>
      <c r="B768" s="3">
        <v>42461</v>
      </c>
      <c r="C768" t="str">
        <f t="shared" si="61"/>
        <v>Friday</v>
      </c>
      <c r="D768" t="str">
        <f t="shared" si="58"/>
        <v>Weekday</v>
      </c>
      <c r="E768" s="2">
        <v>7444</v>
      </c>
      <c r="F768" s="2">
        <v>5.6199998860000004</v>
      </c>
      <c r="G768" s="2">
        <v>5.6199998860000004</v>
      </c>
      <c r="H768" s="2">
        <v>0</v>
      </c>
      <c r="I768" s="2">
        <v>0</v>
      </c>
      <c r="J768" s="2">
        <v>0</v>
      </c>
      <c r="K768" s="2">
        <v>5.6199998860000004</v>
      </c>
      <c r="L768" s="2">
        <v>0</v>
      </c>
      <c r="M768" s="2">
        <v>0</v>
      </c>
      <c r="N768" s="2">
        <v>0</v>
      </c>
      <c r="O768" s="2">
        <v>286</v>
      </c>
      <c r="P768" s="2">
        <v>568</v>
      </c>
      <c r="Q768" s="2">
        <f t="shared" si="62"/>
        <v>286</v>
      </c>
      <c r="R768" s="2">
        <f t="shared" si="60"/>
        <v>854</v>
      </c>
      <c r="S768" t="str">
        <f t="shared" si="59"/>
        <v>Lightly Active</v>
      </c>
      <c r="T768" s="2">
        <v>2210</v>
      </c>
    </row>
    <row r="769" spans="1:20" x14ac:dyDescent="0.25">
      <c r="A769" s="2">
        <v>6117666160</v>
      </c>
      <c r="B769" s="3">
        <v>42462</v>
      </c>
      <c r="C769" t="str">
        <f t="shared" si="61"/>
        <v>Saturday</v>
      </c>
      <c r="D769" t="str">
        <f t="shared" si="58"/>
        <v>Weekend</v>
      </c>
      <c r="E769" s="2">
        <v>19658</v>
      </c>
      <c r="F769" s="2">
        <v>14.84000015</v>
      </c>
      <c r="G769" s="2">
        <v>14.84000015</v>
      </c>
      <c r="H769" s="2">
        <v>0</v>
      </c>
      <c r="I769" s="2">
        <v>0.23999999499999999</v>
      </c>
      <c r="J769" s="2">
        <v>2.0899999139999998</v>
      </c>
      <c r="K769" s="2">
        <v>12.510000229999999</v>
      </c>
      <c r="L769" s="2">
        <v>0</v>
      </c>
      <c r="M769" s="2">
        <v>3</v>
      </c>
      <c r="N769" s="2">
        <v>30</v>
      </c>
      <c r="O769" s="2">
        <v>475</v>
      </c>
      <c r="P769" s="2">
        <v>466</v>
      </c>
      <c r="Q769" s="2">
        <f t="shared" si="62"/>
        <v>508</v>
      </c>
      <c r="R769" s="2">
        <f t="shared" si="60"/>
        <v>974</v>
      </c>
      <c r="S769" t="str">
        <f t="shared" si="59"/>
        <v>Highly Active</v>
      </c>
      <c r="T769" s="2">
        <v>2884</v>
      </c>
    </row>
    <row r="770" spans="1:20" x14ac:dyDescent="0.25">
      <c r="A770" s="2">
        <v>6117666160</v>
      </c>
      <c r="B770" s="3">
        <v>42464</v>
      </c>
      <c r="C770" t="str">
        <f t="shared" si="61"/>
        <v>Monday</v>
      </c>
      <c r="D770" t="str">
        <f t="shared" si="58"/>
        <v>Weekday</v>
      </c>
      <c r="E770" s="2">
        <v>8468</v>
      </c>
      <c r="F770" s="2">
        <v>6.3899998660000001</v>
      </c>
      <c r="G770" s="2">
        <v>6.3899998660000001</v>
      </c>
      <c r="H770" s="2">
        <v>0</v>
      </c>
      <c r="I770" s="2">
        <v>0.18000000699999999</v>
      </c>
      <c r="J770" s="2">
        <v>0.63999998599999997</v>
      </c>
      <c r="K770" s="2">
        <v>5.5700001720000003</v>
      </c>
      <c r="L770" s="2">
        <v>0</v>
      </c>
      <c r="M770" s="2">
        <v>2</v>
      </c>
      <c r="N770" s="2">
        <v>11</v>
      </c>
      <c r="O770" s="2">
        <v>279</v>
      </c>
      <c r="P770" s="2">
        <v>1148</v>
      </c>
      <c r="Q770" s="2">
        <f t="shared" si="62"/>
        <v>292</v>
      </c>
      <c r="R770" s="2">
        <f t="shared" si="60"/>
        <v>1440</v>
      </c>
      <c r="S770" t="str">
        <f t="shared" si="59"/>
        <v>Fairly Active</v>
      </c>
      <c r="T770" s="2">
        <v>2262</v>
      </c>
    </row>
    <row r="771" spans="1:20" x14ac:dyDescent="0.25">
      <c r="A771" s="2">
        <v>6117666160</v>
      </c>
      <c r="B771" s="3">
        <v>42465</v>
      </c>
      <c r="C771" t="str">
        <f t="shared" si="61"/>
        <v>Tuesday</v>
      </c>
      <c r="D771" t="str">
        <f t="shared" ref="D771:D834" si="63">IF(OR(C771="Saturday", C771="Sunday"), "Weekend", "Weekday")</f>
        <v>Weekday</v>
      </c>
      <c r="E771" s="2">
        <v>9910</v>
      </c>
      <c r="F771" s="2">
        <v>7.4800000190000002</v>
      </c>
      <c r="G771" s="2">
        <v>7.4800000190000002</v>
      </c>
      <c r="H771" s="2">
        <v>0</v>
      </c>
      <c r="I771" s="2">
        <v>0</v>
      </c>
      <c r="J771" s="2">
        <v>0</v>
      </c>
      <c r="K771" s="2">
        <v>7.4800000190000002</v>
      </c>
      <c r="L771" s="2">
        <v>0</v>
      </c>
      <c r="M771" s="2">
        <v>0</v>
      </c>
      <c r="N771" s="2">
        <v>0</v>
      </c>
      <c r="O771" s="2">
        <v>384</v>
      </c>
      <c r="P771" s="2">
        <v>990</v>
      </c>
      <c r="Q771" s="2">
        <f t="shared" si="62"/>
        <v>384</v>
      </c>
      <c r="R771" s="2">
        <f t="shared" si="60"/>
        <v>1374</v>
      </c>
      <c r="S771" t="str">
        <f t="shared" ref="S771:S834" si="64">IF(E771&lt;5000, "Sedentary", IF(E771&lt;7500, "Lightly Active", IF(E771&lt;10000, "Fairly Active", "Highly Active")))</f>
        <v>Fairly Active</v>
      </c>
      <c r="T771" s="2">
        <v>2445</v>
      </c>
    </row>
    <row r="772" spans="1:20" x14ac:dyDescent="0.25">
      <c r="A772" s="2">
        <v>6117666160</v>
      </c>
      <c r="B772" s="3">
        <v>42466</v>
      </c>
      <c r="C772" t="str">
        <f t="shared" si="61"/>
        <v>Wednesday</v>
      </c>
      <c r="D772" t="str">
        <f t="shared" si="63"/>
        <v>Weekday</v>
      </c>
      <c r="E772" s="2">
        <v>12409</v>
      </c>
      <c r="F772" s="2">
        <v>9.3699998860000004</v>
      </c>
      <c r="G772" s="2">
        <v>9.3699998860000004</v>
      </c>
      <c r="H772" s="2">
        <v>0</v>
      </c>
      <c r="I772" s="2">
        <v>0</v>
      </c>
      <c r="J772" s="2">
        <v>0</v>
      </c>
      <c r="K772" s="2">
        <v>9.3699998860000004</v>
      </c>
      <c r="L772" s="2">
        <v>0</v>
      </c>
      <c r="M772" s="2">
        <v>0</v>
      </c>
      <c r="N772" s="2">
        <v>0</v>
      </c>
      <c r="O772" s="2">
        <v>491</v>
      </c>
      <c r="P772" s="2">
        <v>388</v>
      </c>
      <c r="Q772" s="2">
        <f t="shared" si="62"/>
        <v>491</v>
      </c>
      <c r="R772" s="2">
        <f t="shared" si="60"/>
        <v>879</v>
      </c>
      <c r="S772" t="str">
        <f t="shared" si="64"/>
        <v>Highly Active</v>
      </c>
      <c r="T772" s="2">
        <v>2694</v>
      </c>
    </row>
    <row r="773" spans="1:20" x14ac:dyDescent="0.25">
      <c r="A773" s="2">
        <v>6117666160</v>
      </c>
      <c r="B773" s="3">
        <v>42467</v>
      </c>
      <c r="C773" t="str">
        <f t="shared" si="61"/>
        <v>Thursday</v>
      </c>
      <c r="D773" t="str">
        <f t="shared" si="63"/>
        <v>Weekday</v>
      </c>
      <c r="E773" s="2">
        <v>4853</v>
      </c>
      <c r="F773" s="2">
        <v>3.6600000860000002</v>
      </c>
      <c r="G773" s="2">
        <v>3.6600000860000002</v>
      </c>
      <c r="H773" s="2">
        <v>0</v>
      </c>
      <c r="I773" s="2">
        <v>0</v>
      </c>
      <c r="J773" s="2">
        <v>0</v>
      </c>
      <c r="K773" s="2">
        <v>3.6600000860000002</v>
      </c>
      <c r="L773" s="2">
        <v>0</v>
      </c>
      <c r="M773" s="2">
        <v>0</v>
      </c>
      <c r="N773" s="2">
        <v>0</v>
      </c>
      <c r="O773" s="2">
        <v>156</v>
      </c>
      <c r="P773" s="2">
        <v>770</v>
      </c>
      <c r="Q773" s="2">
        <f t="shared" si="62"/>
        <v>156</v>
      </c>
      <c r="R773" s="2">
        <f t="shared" si="60"/>
        <v>926</v>
      </c>
      <c r="S773" t="str">
        <f t="shared" si="64"/>
        <v>Sedentary</v>
      </c>
      <c r="T773" s="2">
        <v>1903</v>
      </c>
    </row>
    <row r="774" spans="1:20" x14ac:dyDescent="0.25">
      <c r="A774" s="2">
        <v>6117666160</v>
      </c>
      <c r="B774" s="3">
        <v>42468</v>
      </c>
      <c r="C774" t="str">
        <f t="shared" si="61"/>
        <v>Friday</v>
      </c>
      <c r="D774" t="str">
        <f t="shared" si="63"/>
        <v>Weekday</v>
      </c>
      <c r="E774" s="2">
        <v>8955</v>
      </c>
      <c r="F774" s="2">
        <v>6.7600002290000001</v>
      </c>
      <c r="G774" s="2">
        <v>6.7600002290000001</v>
      </c>
      <c r="H774" s="2">
        <v>0</v>
      </c>
      <c r="I774" s="2">
        <v>0</v>
      </c>
      <c r="J774" s="2">
        <v>0</v>
      </c>
      <c r="K774" s="2">
        <v>6.7300000190000002</v>
      </c>
      <c r="L774" s="2">
        <v>0</v>
      </c>
      <c r="M774" s="2">
        <v>0</v>
      </c>
      <c r="N774" s="2">
        <v>0</v>
      </c>
      <c r="O774" s="2">
        <v>422</v>
      </c>
      <c r="P774" s="2">
        <v>1018</v>
      </c>
      <c r="Q774" s="2">
        <f t="shared" si="62"/>
        <v>422</v>
      </c>
      <c r="R774" s="2">
        <f t="shared" si="60"/>
        <v>1440</v>
      </c>
      <c r="S774" t="str">
        <f t="shared" si="64"/>
        <v>Fairly Active</v>
      </c>
      <c r="T774" s="2">
        <v>2482</v>
      </c>
    </row>
    <row r="775" spans="1:20" x14ac:dyDescent="0.25">
      <c r="A775" s="2">
        <v>6117666160</v>
      </c>
      <c r="B775" s="3">
        <v>42469</v>
      </c>
      <c r="C775" t="str">
        <f t="shared" si="61"/>
        <v>Saturday</v>
      </c>
      <c r="D775" t="str">
        <f t="shared" si="63"/>
        <v>Weekend</v>
      </c>
      <c r="E775" s="2">
        <v>10789</v>
      </c>
      <c r="F775" s="2">
        <v>8.1499996190000008</v>
      </c>
      <c r="G775" s="2">
        <v>8.1499996190000008</v>
      </c>
      <c r="H775" s="2">
        <v>0</v>
      </c>
      <c r="I775" s="2">
        <v>0</v>
      </c>
      <c r="J775" s="2">
        <v>0</v>
      </c>
      <c r="K775" s="2">
        <v>8.1499996190000008</v>
      </c>
      <c r="L775" s="2">
        <v>0</v>
      </c>
      <c r="M775" s="2">
        <v>0</v>
      </c>
      <c r="N775" s="2">
        <v>0</v>
      </c>
      <c r="O775" s="2">
        <v>506</v>
      </c>
      <c r="P775" s="2">
        <v>413</v>
      </c>
      <c r="Q775" s="2">
        <f t="shared" si="62"/>
        <v>506</v>
      </c>
      <c r="R775" s="2">
        <f t="shared" si="60"/>
        <v>919</v>
      </c>
      <c r="S775" t="str">
        <f t="shared" si="64"/>
        <v>Highly Active</v>
      </c>
      <c r="T775" s="2">
        <v>2617</v>
      </c>
    </row>
    <row r="776" spans="1:20" x14ac:dyDescent="0.25">
      <c r="A776" s="2">
        <v>6117666160</v>
      </c>
      <c r="B776" s="3">
        <v>42475</v>
      </c>
      <c r="C776" t="str">
        <f t="shared" si="61"/>
        <v>Friday</v>
      </c>
      <c r="D776" t="str">
        <f t="shared" si="63"/>
        <v>Weekday</v>
      </c>
      <c r="E776" s="2">
        <v>14019</v>
      </c>
      <c r="F776" s="2">
        <v>10.59000015</v>
      </c>
      <c r="G776" s="2">
        <v>10.59000015</v>
      </c>
      <c r="H776" s="2">
        <v>0</v>
      </c>
      <c r="I776" s="2">
        <v>0</v>
      </c>
      <c r="J776" s="2">
        <v>0.280000001</v>
      </c>
      <c r="K776" s="2">
        <v>10.30000019</v>
      </c>
      <c r="L776" s="2">
        <v>0</v>
      </c>
      <c r="M776" s="2">
        <v>0</v>
      </c>
      <c r="N776" s="2">
        <v>6</v>
      </c>
      <c r="O776" s="2">
        <v>513</v>
      </c>
      <c r="P776" s="2">
        <v>921</v>
      </c>
      <c r="Q776" s="2">
        <f t="shared" si="62"/>
        <v>519</v>
      </c>
      <c r="R776" s="2">
        <f t="shared" si="60"/>
        <v>1440</v>
      </c>
      <c r="S776" t="str">
        <f t="shared" si="64"/>
        <v>Highly Active</v>
      </c>
      <c r="T776" s="2">
        <v>2865</v>
      </c>
    </row>
    <row r="777" spans="1:20" x14ac:dyDescent="0.25">
      <c r="A777" s="2">
        <v>6117666160</v>
      </c>
      <c r="B777" s="3">
        <v>42476</v>
      </c>
      <c r="C777" t="str">
        <f t="shared" si="61"/>
        <v>Saturday</v>
      </c>
      <c r="D777" t="str">
        <f t="shared" si="63"/>
        <v>Weekend</v>
      </c>
      <c r="E777" s="2">
        <v>14450</v>
      </c>
      <c r="F777" s="2">
        <v>10.90999985</v>
      </c>
      <c r="G777" s="2">
        <v>10.90999985</v>
      </c>
      <c r="H777" s="2">
        <v>0</v>
      </c>
      <c r="I777" s="2">
        <v>0.579999983</v>
      </c>
      <c r="J777" s="2">
        <v>0.85000002399999997</v>
      </c>
      <c r="K777" s="2">
        <v>9.4799995419999998</v>
      </c>
      <c r="L777" s="2">
        <v>0</v>
      </c>
      <c r="M777" s="2">
        <v>7</v>
      </c>
      <c r="N777" s="2">
        <v>15</v>
      </c>
      <c r="O777" s="2">
        <v>518</v>
      </c>
      <c r="P777" s="2">
        <v>502</v>
      </c>
      <c r="Q777" s="2">
        <f t="shared" si="62"/>
        <v>540</v>
      </c>
      <c r="R777" s="2">
        <f t="shared" si="60"/>
        <v>1042</v>
      </c>
      <c r="S777" t="str">
        <f t="shared" si="64"/>
        <v>Highly Active</v>
      </c>
      <c r="T777" s="2">
        <v>2828</v>
      </c>
    </row>
    <row r="778" spans="1:20" x14ac:dyDescent="0.25">
      <c r="A778" s="2">
        <v>6117666160</v>
      </c>
      <c r="B778" s="3">
        <v>42477</v>
      </c>
      <c r="C778" t="str">
        <f t="shared" si="61"/>
        <v>Sunday</v>
      </c>
      <c r="D778" t="str">
        <f t="shared" si="63"/>
        <v>Weekend</v>
      </c>
      <c r="E778" s="2">
        <v>7150</v>
      </c>
      <c r="F778" s="2">
        <v>5.4000000950000002</v>
      </c>
      <c r="G778" s="2">
        <v>5.4000000950000002</v>
      </c>
      <c r="H778" s="2">
        <v>0</v>
      </c>
      <c r="I778" s="2">
        <v>0</v>
      </c>
      <c r="J778" s="2">
        <v>0</v>
      </c>
      <c r="K778" s="2">
        <v>5.4000000950000002</v>
      </c>
      <c r="L778" s="2">
        <v>0</v>
      </c>
      <c r="M778" s="2">
        <v>0</v>
      </c>
      <c r="N778" s="2">
        <v>0</v>
      </c>
      <c r="O778" s="2">
        <v>312</v>
      </c>
      <c r="P778" s="2">
        <v>702</v>
      </c>
      <c r="Q778" s="2">
        <f t="shared" si="62"/>
        <v>312</v>
      </c>
      <c r="R778" s="2">
        <f t="shared" si="60"/>
        <v>1014</v>
      </c>
      <c r="S778" t="str">
        <f t="shared" si="64"/>
        <v>Lightly Active</v>
      </c>
      <c r="T778" s="2">
        <v>2225</v>
      </c>
    </row>
    <row r="779" spans="1:20" x14ac:dyDescent="0.25">
      <c r="A779" s="2">
        <v>6117666160</v>
      </c>
      <c r="B779" s="3">
        <v>42478</v>
      </c>
      <c r="C779" t="str">
        <f t="shared" si="61"/>
        <v>Monday</v>
      </c>
      <c r="D779" t="str">
        <f t="shared" si="63"/>
        <v>Weekday</v>
      </c>
      <c r="E779" s="2">
        <v>5153</v>
      </c>
      <c r="F779" s="2">
        <v>3.9100000860000002</v>
      </c>
      <c r="G779" s="2">
        <v>3.9100000860000002</v>
      </c>
      <c r="H779" s="2">
        <v>0</v>
      </c>
      <c r="I779" s="2">
        <v>0</v>
      </c>
      <c r="J779" s="2">
        <v>0</v>
      </c>
      <c r="K779" s="2">
        <v>3.8900001049999999</v>
      </c>
      <c r="L779" s="2">
        <v>0</v>
      </c>
      <c r="M779" s="2">
        <v>0</v>
      </c>
      <c r="N779" s="2">
        <v>0</v>
      </c>
      <c r="O779" s="2">
        <v>241</v>
      </c>
      <c r="P779" s="2">
        <v>759</v>
      </c>
      <c r="Q779" s="2">
        <f t="shared" si="62"/>
        <v>241</v>
      </c>
      <c r="R779" s="2">
        <f t="shared" si="60"/>
        <v>1000</v>
      </c>
      <c r="S779" t="str">
        <f t="shared" si="64"/>
        <v>Lightly Active</v>
      </c>
      <c r="T779" s="2">
        <v>2018</v>
      </c>
    </row>
    <row r="780" spans="1:20" x14ac:dyDescent="0.25">
      <c r="A780" s="2">
        <v>6117666160</v>
      </c>
      <c r="B780" s="3">
        <v>42479</v>
      </c>
      <c r="C780" t="str">
        <f t="shared" si="61"/>
        <v>Tuesday</v>
      </c>
      <c r="D780" t="str">
        <f t="shared" si="63"/>
        <v>Weekday</v>
      </c>
      <c r="E780" s="2">
        <v>11135</v>
      </c>
      <c r="F780" s="2">
        <v>8.4099998469999999</v>
      </c>
      <c r="G780" s="2">
        <v>8.4099998469999999</v>
      </c>
      <c r="H780" s="2">
        <v>0</v>
      </c>
      <c r="I780" s="2">
        <v>0</v>
      </c>
      <c r="J780" s="2">
        <v>0</v>
      </c>
      <c r="K780" s="2">
        <v>8.4099998469999999</v>
      </c>
      <c r="L780" s="2">
        <v>0</v>
      </c>
      <c r="M780" s="2">
        <v>0</v>
      </c>
      <c r="N780" s="2">
        <v>0</v>
      </c>
      <c r="O780" s="2">
        <v>480</v>
      </c>
      <c r="P780" s="2">
        <v>425</v>
      </c>
      <c r="Q780" s="2">
        <f t="shared" si="62"/>
        <v>480</v>
      </c>
      <c r="R780" s="2">
        <f t="shared" si="60"/>
        <v>905</v>
      </c>
      <c r="S780" t="str">
        <f t="shared" si="64"/>
        <v>Highly Active</v>
      </c>
      <c r="T780" s="2">
        <v>2606</v>
      </c>
    </row>
    <row r="781" spans="1:20" x14ac:dyDescent="0.25">
      <c r="A781" s="2">
        <v>6117666160</v>
      </c>
      <c r="B781" s="3">
        <v>42480</v>
      </c>
      <c r="C781" t="str">
        <f t="shared" si="61"/>
        <v>Wednesday</v>
      </c>
      <c r="D781" t="str">
        <f t="shared" si="63"/>
        <v>Weekday</v>
      </c>
      <c r="E781" s="2">
        <v>10449</v>
      </c>
      <c r="F781" s="2">
        <v>8.0200004580000002</v>
      </c>
      <c r="G781" s="2">
        <v>8.0200004580000002</v>
      </c>
      <c r="H781" s="2">
        <v>0</v>
      </c>
      <c r="I781" s="2">
        <v>2.0299999710000001</v>
      </c>
      <c r="J781" s="2">
        <v>0.47999998900000002</v>
      </c>
      <c r="K781" s="2">
        <v>5.5199999809999998</v>
      </c>
      <c r="L781" s="2">
        <v>0</v>
      </c>
      <c r="M781" s="2">
        <v>26</v>
      </c>
      <c r="N781" s="2">
        <v>10</v>
      </c>
      <c r="O781" s="2">
        <v>349</v>
      </c>
      <c r="P781" s="2">
        <v>587</v>
      </c>
      <c r="Q781" s="2">
        <f t="shared" si="62"/>
        <v>385</v>
      </c>
      <c r="R781" s="2">
        <f t="shared" si="60"/>
        <v>972</v>
      </c>
      <c r="S781" t="str">
        <f t="shared" si="64"/>
        <v>Highly Active</v>
      </c>
      <c r="T781" s="2">
        <v>2536</v>
      </c>
    </row>
    <row r="782" spans="1:20" x14ac:dyDescent="0.25">
      <c r="A782" s="2">
        <v>6117666160</v>
      </c>
      <c r="B782" s="3">
        <v>42481</v>
      </c>
      <c r="C782" t="str">
        <f t="shared" si="61"/>
        <v>Thursday</v>
      </c>
      <c r="D782" t="str">
        <f t="shared" si="63"/>
        <v>Weekday</v>
      </c>
      <c r="E782" s="2">
        <v>19542</v>
      </c>
      <c r="F782" s="2">
        <v>15.010000229999999</v>
      </c>
      <c r="G782" s="2">
        <v>15.010000229999999</v>
      </c>
      <c r="H782" s="2">
        <v>0</v>
      </c>
      <c r="I782" s="2">
        <v>0.980000019</v>
      </c>
      <c r="J782" s="2">
        <v>0.40000000600000002</v>
      </c>
      <c r="K782" s="2">
        <v>5.6199998860000004</v>
      </c>
      <c r="L782" s="2">
        <v>0</v>
      </c>
      <c r="M782" s="2">
        <v>11</v>
      </c>
      <c r="N782" s="2">
        <v>19</v>
      </c>
      <c r="O782" s="2">
        <v>294</v>
      </c>
      <c r="P782" s="2">
        <v>579</v>
      </c>
      <c r="Q782" s="2">
        <f t="shared" si="62"/>
        <v>324</v>
      </c>
      <c r="R782" s="2">
        <f t="shared" si="60"/>
        <v>903</v>
      </c>
      <c r="S782" t="str">
        <f t="shared" si="64"/>
        <v>Highly Active</v>
      </c>
      <c r="T782" s="2">
        <v>4900</v>
      </c>
    </row>
    <row r="783" spans="1:20" x14ac:dyDescent="0.25">
      <c r="A783" s="2">
        <v>6117666160</v>
      </c>
      <c r="B783" s="3">
        <v>42482</v>
      </c>
      <c r="C783" t="str">
        <f t="shared" si="61"/>
        <v>Friday</v>
      </c>
      <c r="D783" t="str">
        <f t="shared" si="63"/>
        <v>Weekday</v>
      </c>
      <c r="E783" s="2">
        <v>8206</v>
      </c>
      <c r="F783" s="2">
        <v>6.1999998090000004</v>
      </c>
      <c r="G783" s="2">
        <v>6.1999998090000004</v>
      </c>
      <c r="H783" s="2">
        <v>0</v>
      </c>
      <c r="I783" s="2">
        <v>0</v>
      </c>
      <c r="J783" s="2">
        <v>0</v>
      </c>
      <c r="K783" s="2">
        <v>6.1999998090000004</v>
      </c>
      <c r="L783" s="2">
        <v>0</v>
      </c>
      <c r="M783" s="2">
        <v>0</v>
      </c>
      <c r="N783" s="2">
        <v>0</v>
      </c>
      <c r="O783" s="2">
        <v>402</v>
      </c>
      <c r="P783" s="2">
        <v>413</v>
      </c>
      <c r="Q783" s="2">
        <f t="shared" si="62"/>
        <v>402</v>
      </c>
      <c r="R783" s="2">
        <f t="shared" si="60"/>
        <v>815</v>
      </c>
      <c r="S783" t="str">
        <f t="shared" si="64"/>
        <v>Fairly Active</v>
      </c>
      <c r="T783" s="2">
        <v>2409</v>
      </c>
    </row>
    <row r="784" spans="1:20" x14ac:dyDescent="0.25">
      <c r="A784" s="2">
        <v>6117666160</v>
      </c>
      <c r="B784" s="3">
        <v>42483</v>
      </c>
      <c r="C784" t="str">
        <f t="shared" si="61"/>
        <v>Saturday</v>
      </c>
      <c r="D784" t="str">
        <f t="shared" si="63"/>
        <v>Weekend</v>
      </c>
      <c r="E784" s="2">
        <v>11495</v>
      </c>
      <c r="F784" s="2">
        <v>8.6800003050000001</v>
      </c>
      <c r="G784" s="2">
        <v>8.6800003050000001</v>
      </c>
      <c r="H784" s="2">
        <v>0</v>
      </c>
      <c r="I784" s="2">
        <v>0</v>
      </c>
      <c r="J784" s="2">
        <v>0</v>
      </c>
      <c r="K784" s="2">
        <v>8.6800003050000001</v>
      </c>
      <c r="L784" s="2">
        <v>0</v>
      </c>
      <c r="M784" s="2">
        <v>0</v>
      </c>
      <c r="N784" s="2">
        <v>0</v>
      </c>
      <c r="O784" s="2">
        <v>512</v>
      </c>
      <c r="P784" s="2">
        <v>468</v>
      </c>
      <c r="Q784" s="2">
        <f t="shared" si="62"/>
        <v>512</v>
      </c>
      <c r="R784" s="2">
        <f t="shared" si="60"/>
        <v>980</v>
      </c>
      <c r="S784" t="str">
        <f t="shared" si="64"/>
        <v>Highly Active</v>
      </c>
      <c r="T784" s="2">
        <v>2651</v>
      </c>
    </row>
    <row r="785" spans="1:20" x14ac:dyDescent="0.25">
      <c r="A785" s="2">
        <v>6117666160</v>
      </c>
      <c r="B785" s="3">
        <v>42484</v>
      </c>
      <c r="C785" t="str">
        <f t="shared" si="61"/>
        <v>Sunday</v>
      </c>
      <c r="D785" t="str">
        <f t="shared" si="63"/>
        <v>Weekend</v>
      </c>
      <c r="E785" s="2">
        <v>7623</v>
      </c>
      <c r="F785" s="2">
        <v>5.7600002290000001</v>
      </c>
      <c r="G785" s="2">
        <v>5.7600002290000001</v>
      </c>
      <c r="H785" s="2">
        <v>0</v>
      </c>
      <c r="I785" s="2">
        <v>0</v>
      </c>
      <c r="J785" s="2">
        <v>0</v>
      </c>
      <c r="K785" s="2">
        <v>5.7600002290000001</v>
      </c>
      <c r="L785" s="2">
        <v>0</v>
      </c>
      <c r="M785" s="2">
        <v>0</v>
      </c>
      <c r="N785" s="2">
        <v>0</v>
      </c>
      <c r="O785" s="2">
        <v>362</v>
      </c>
      <c r="P785" s="2">
        <v>711</v>
      </c>
      <c r="Q785" s="2">
        <f t="shared" si="62"/>
        <v>362</v>
      </c>
      <c r="R785" s="2">
        <f t="shared" si="60"/>
        <v>1073</v>
      </c>
      <c r="S785" t="str">
        <f t="shared" si="64"/>
        <v>Fairly Active</v>
      </c>
      <c r="T785" s="2">
        <v>2305</v>
      </c>
    </row>
    <row r="786" spans="1:20" x14ac:dyDescent="0.25">
      <c r="A786" s="2">
        <v>6117666160</v>
      </c>
      <c r="B786" s="3">
        <v>42486</v>
      </c>
      <c r="C786" t="str">
        <f t="shared" si="61"/>
        <v>Tuesday</v>
      </c>
      <c r="D786" t="str">
        <f t="shared" si="63"/>
        <v>Weekday</v>
      </c>
      <c r="E786" s="2">
        <v>9543</v>
      </c>
      <c r="F786" s="2">
        <v>7.2100000380000004</v>
      </c>
      <c r="G786" s="2">
        <v>7.2100000380000004</v>
      </c>
      <c r="H786" s="2">
        <v>0</v>
      </c>
      <c r="I786" s="2">
        <v>0</v>
      </c>
      <c r="J786" s="2">
        <v>0.34000000400000002</v>
      </c>
      <c r="K786" s="2">
        <v>6.8699998860000004</v>
      </c>
      <c r="L786" s="2">
        <v>0</v>
      </c>
      <c r="M786" s="2">
        <v>0</v>
      </c>
      <c r="N786" s="2">
        <v>7</v>
      </c>
      <c r="O786" s="2">
        <v>352</v>
      </c>
      <c r="P786" s="2">
        <v>1077</v>
      </c>
      <c r="Q786" s="2">
        <f t="shared" si="62"/>
        <v>359</v>
      </c>
      <c r="R786" s="2">
        <f t="shared" si="60"/>
        <v>1436</v>
      </c>
      <c r="S786" t="str">
        <f t="shared" si="64"/>
        <v>Fairly Active</v>
      </c>
      <c r="T786" s="2">
        <v>2450</v>
      </c>
    </row>
    <row r="787" spans="1:20" x14ac:dyDescent="0.25">
      <c r="A787" s="2">
        <v>6117666160</v>
      </c>
      <c r="B787" s="3">
        <v>42487</v>
      </c>
      <c r="C787" t="str">
        <f t="shared" si="61"/>
        <v>Wednesday</v>
      </c>
      <c r="D787" t="str">
        <f t="shared" si="63"/>
        <v>Weekday</v>
      </c>
      <c r="E787" s="2">
        <v>9411</v>
      </c>
      <c r="F787" s="2">
        <v>7.1100001339999999</v>
      </c>
      <c r="G787" s="2">
        <v>7.1100001339999999</v>
      </c>
      <c r="H787" s="2">
        <v>0</v>
      </c>
      <c r="I787" s="2">
        <v>0</v>
      </c>
      <c r="J787" s="2">
        <v>0</v>
      </c>
      <c r="K787" s="2">
        <v>7.1100001339999999</v>
      </c>
      <c r="L787" s="2">
        <v>0</v>
      </c>
      <c r="M787" s="2">
        <v>0</v>
      </c>
      <c r="N787" s="2">
        <v>0</v>
      </c>
      <c r="O787" s="2">
        <v>458</v>
      </c>
      <c r="P787" s="2">
        <v>417</v>
      </c>
      <c r="Q787" s="2">
        <f t="shared" si="62"/>
        <v>458</v>
      </c>
      <c r="R787" s="2">
        <f t="shared" si="60"/>
        <v>875</v>
      </c>
      <c r="S787" t="str">
        <f t="shared" si="64"/>
        <v>Fairly Active</v>
      </c>
      <c r="T787" s="2">
        <v>2576</v>
      </c>
    </row>
    <row r="788" spans="1:20" x14ac:dyDescent="0.25">
      <c r="A788" s="2">
        <v>6117666160</v>
      </c>
      <c r="B788" s="3">
        <v>42488</v>
      </c>
      <c r="C788" t="str">
        <f t="shared" si="61"/>
        <v>Thursday</v>
      </c>
      <c r="D788" t="str">
        <f t="shared" si="63"/>
        <v>Weekday</v>
      </c>
      <c r="E788" s="2">
        <v>3403</v>
      </c>
      <c r="F788" s="2">
        <v>2.5999999049999998</v>
      </c>
      <c r="G788" s="2">
        <v>2.5999999049999998</v>
      </c>
      <c r="H788" s="2">
        <v>0</v>
      </c>
      <c r="I788" s="2">
        <v>0</v>
      </c>
      <c r="J788" s="2">
        <v>0</v>
      </c>
      <c r="K788" s="2">
        <v>2.5999999049999998</v>
      </c>
      <c r="L788" s="2">
        <v>0</v>
      </c>
      <c r="M788" s="2">
        <v>0</v>
      </c>
      <c r="N788" s="2">
        <v>0</v>
      </c>
      <c r="O788" s="2">
        <v>141</v>
      </c>
      <c r="P788" s="2">
        <v>758</v>
      </c>
      <c r="Q788" s="2">
        <f t="shared" si="62"/>
        <v>141</v>
      </c>
      <c r="R788" s="2">
        <f t="shared" si="60"/>
        <v>899</v>
      </c>
      <c r="S788" t="str">
        <f t="shared" si="64"/>
        <v>Sedentary</v>
      </c>
      <c r="T788" s="2">
        <v>1879</v>
      </c>
    </row>
    <row r="789" spans="1:20" x14ac:dyDescent="0.25">
      <c r="A789" s="2">
        <v>6117666160</v>
      </c>
      <c r="B789" s="3">
        <v>42489</v>
      </c>
      <c r="C789" t="str">
        <f t="shared" si="61"/>
        <v>Friday</v>
      </c>
      <c r="D789" t="str">
        <f t="shared" si="63"/>
        <v>Weekday</v>
      </c>
      <c r="E789" s="2">
        <v>9592</v>
      </c>
      <c r="F789" s="2">
        <v>7.2399997709999999</v>
      </c>
      <c r="G789" s="2">
        <v>7.2399997709999999</v>
      </c>
      <c r="H789" s="2">
        <v>0</v>
      </c>
      <c r="I789" s="2">
        <v>0</v>
      </c>
      <c r="J789" s="2">
        <v>0</v>
      </c>
      <c r="K789" s="2">
        <v>7.2399997709999999</v>
      </c>
      <c r="L789" s="2">
        <v>0</v>
      </c>
      <c r="M789" s="2">
        <v>0</v>
      </c>
      <c r="N789" s="2">
        <v>0</v>
      </c>
      <c r="O789" s="2">
        <v>461</v>
      </c>
      <c r="P789" s="2">
        <v>479</v>
      </c>
      <c r="Q789" s="2">
        <f t="shared" si="62"/>
        <v>461</v>
      </c>
      <c r="R789" s="2">
        <f t="shared" si="60"/>
        <v>940</v>
      </c>
      <c r="S789" t="str">
        <f t="shared" si="64"/>
        <v>Fairly Active</v>
      </c>
      <c r="T789" s="2">
        <v>2560</v>
      </c>
    </row>
    <row r="790" spans="1:20" x14ac:dyDescent="0.25">
      <c r="A790" s="2">
        <v>6117666160</v>
      </c>
      <c r="B790" s="3">
        <v>42490</v>
      </c>
      <c r="C790" t="str">
        <f t="shared" si="61"/>
        <v>Saturday</v>
      </c>
      <c r="D790" t="str">
        <f t="shared" si="63"/>
        <v>Weekend</v>
      </c>
      <c r="E790" s="2">
        <v>6987</v>
      </c>
      <c r="F790" s="2">
        <v>5.2800002099999999</v>
      </c>
      <c r="G790" s="2">
        <v>5.2800002099999999</v>
      </c>
      <c r="H790" s="2">
        <v>0</v>
      </c>
      <c r="I790" s="2">
        <v>0</v>
      </c>
      <c r="J790" s="2">
        <v>0</v>
      </c>
      <c r="K790" s="2">
        <v>5.2800002099999999</v>
      </c>
      <c r="L790" s="2">
        <v>0</v>
      </c>
      <c r="M790" s="2">
        <v>0</v>
      </c>
      <c r="N790" s="2">
        <v>0</v>
      </c>
      <c r="O790" s="2">
        <v>343</v>
      </c>
      <c r="P790" s="2">
        <v>1040</v>
      </c>
      <c r="Q790" s="2">
        <f t="shared" si="62"/>
        <v>343</v>
      </c>
      <c r="R790" s="2">
        <f t="shared" si="60"/>
        <v>1383</v>
      </c>
      <c r="S790" t="str">
        <f t="shared" si="64"/>
        <v>Lightly Active</v>
      </c>
      <c r="T790" s="2">
        <v>2275</v>
      </c>
    </row>
    <row r="791" spans="1:20" x14ac:dyDescent="0.25">
      <c r="A791" s="2">
        <v>6117666160</v>
      </c>
      <c r="B791" s="3">
        <v>42491</v>
      </c>
      <c r="C791" t="str">
        <f t="shared" si="61"/>
        <v>Sunday</v>
      </c>
      <c r="D791" t="str">
        <f t="shared" si="63"/>
        <v>Weekend</v>
      </c>
      <c r="E791" s="2">
        <v>8915</v>
      </c>
      <c r="F791" s="2">
        <v>6.7300000190000002</v>
      </c>
      <c r="G791" s="2">
        <v>6.7300000190000002</v>
      </c>
      <c r="H791" s="2">
        <v>0</v>
      </c>
      <c r="I791" s="2">
        <v>0</v>
      </c>
      <c r="J791" s="2">
        <v>0</v>
      </c>
      <c r="K791" s="2">
        <v>6.7300000190000002</v>
      </c>
      <c r="L791" s="2">
        <v>0</v>
      </c>
      <c r="M791" s="2">
        <v>0</v>
      </c>
      <c r="N791" s="2">
        <v>0</v>
      </c>
      <c r="O791" s="2">
        <v>397</v>
      </c>
      <c r="P791" s="2">
        <v>525</v>
      </c>
      <c r="Q791" s="2">
        <f t="shared" si="62"/>
        <v>397</v>
      </c>
      <c r="R791" s="2">
        <f t="shared" si="60"/>
        <v>922</v>
      </c>
      <c r="S791" t="str">
        <f t="shared" si="64"/>
        <v>Fairly Active</v>
      </c>
      <c r="T791" s="2">
        <v>2361</v>
      </c>
    </row>
    <row r="792" spans="1:20" x14ac:dyDescent="0.25">
      <c r="A792" s="2">
        <v>6117666160</v>
      </c>
      <c r="B792" s="3">
        <v>42492</v>
      </c>
      <c r="C792" t="str">
        <f t="shared" si="61"/>
        <v>Monday</v>
      </c>
      <c r="D792" t="str">
        <f t="shared" si="63"/>
        <v>Weekday</v>
      </c>
      <c r="E792" s="2">
        <v>4933</v>
      </c>
      <c r="F792" s="2">
        <v>3.7300000190000002</v>
      </c>
      <c r="G792" s="2">
        <v>3.7300000190000002</v>
      </c>
      <c r="H792" s="2">
        <v>0</v>
      </c>
      <c r="I792" s="2">
        <v>0</v>
      </c>
      <c r="J792" s="2">
        <v>0</v>
      </c>
      <c r="K792" s="2">
        <v>3.7300000190000002</v>
      </c>
      <c r="L792" s="2">
        <v>0</v>
      </c>
      <c r="M792" s="2">
        <v>0</v>
      </c>
      <c r="N792" s="2">
        <v>0</v>
      </c>
      <c r="O792" s="2">
        <v>236</v>
      </c>
      <c r="P792" s="2">
        <v>1204</v>
      </c>
      <c r="Q792" s="2">
        <f t="shared" si="62"/>
        <v>236</v>
      </c>
      <c r="R792" s="2">
        <f t="shared" si="60"/>
        <v>1440</v>
      </c>
      <c r="S792" t="str">
        <f t="shared" si="64"/>
        <v>Sedentary</v>
      </c>
      <c r="T792" s="2">
        <v>2044</v>
      </c>
    </row>
    <row r="793" spans="1:20" x14ac:dyDescent="0.25">
      <c r="A793" s="2">
        <v>6117666160</v>
      </c>
      <c r="B793" s="3">
        <v>42494</v>
      </c>
      <c r="C793" t="str">
        <f t="shared" si="61"/>
        <v>Wednesday</v>
      </c>
      <c r="D793" t="str">
        <f t="shared" si="63"/>
        <v>Weekday</v>
      </c>
      <c r="E793" s="2">
        <v>2997</v>
      </c>
      <c r="F793" s="2">
        <v>2.2599999899999998</v>
      </c>
      <c r="G793" s="2">
        <v>2.2599999899999998</v>
      </c>
      <c r="H793" s="2">
        <v>0</v>
      </c>
      <c r="I793" s="2">
        <v>0</v>
      </c>
      <c r="J793" s="2">
        <v>0</v>
      </c>
      <c r="K793" s="2">
        <v>2.2599999899999998</v>
      </c>
      <c r="L793" s="2">
        <v>0</v>
      </c>
      <c r="M793" s="2">
        <v>0</v>
      </c>
      <c r="N793" s="2">
        <v>0</v>
      </c>
      <c r="O793" s="2">
        <v>156</v>
      </c>
      <c r="P793" s="2">
        <v>1279</v>
      </c>
      <c r="Q793" s="2">
        <f t="shared" si="62"/>
        <v>156</v>
      </c>
      <c r="R793" s="2">
        <f t="shared" si="60"/>
        <v>1435</v>
      </c>
      <c r="S793" t="str">
        <f t="shared" si="64"/>
        <v>Sedentary</v>
      </c>
      <c r="T793" s="2">
        <v>1902</v>
      </c>
    </row>
    <row r="794" spans="1:20" x14ac:dyDescent="0.25">
      <c r="A794" s="2">
        <v>6117666160</v>
      </c>
      <c r="B794" s="3">
        <v>42495</v>
      </c>
      <c r="C794" t="str">
        <f t="shared" si="61"/>
        <v>Thursday</v>
      </c>
      <c r="D794" t="str">
        <f t="shared" si="63"/>
        <v>Weekday</v>
      </c>
      <c r="E794" s="2">
        <v>9799</v>
      </c>
      <c r="F794" s="2">
        <v>7.4000000950000002</v>
      </c>
      <c r="G794" s="2">
        <v>7.4000000950000002</v>
      </c>
      <c r="H794" s="2">
        <v>0</v>
      </c>
      <c r="I794" s="2">
        <v>0</v>
      </c>
      <c r="J794" s="2">
        <v>0</v>
      </c>
      <c r="K794" s="2">
        <v>7.4000000950000002</v>
      </c>
      <c r="L794" s="2">
        <v>0</v>
      </c>
      <c r="M794" s="2">
        <v>0</v>
      </c>
      <c r="N794" s="2">
        <v>0</v>
      </c>
      <c r="O794" s="2">
        <v>487</v>
      </c>
      <c r="P794" s="2">
        <v>479</v>
      </c>
      <c r="Q794" s="2">
        <f t="shared" si="62"/>
        <v>487</v>
      </c>
      <c r="R794" s="2">
        <f t="shared" si="60"/>
        <v>966</v>
      </c>
      <c r="S794" t="str">
        <f t="shared" si="64"/>
        <v>Fairly Active</v>
      </c>
      <c r="T794" s="2">
        <v>2636</v>
      </c>
    </row>
    <row r="795" spans="1:20" x14ac:dyDescent="0.25">
      <c r="A795" s="2">
        <v>6117666160</v>
      </c>
      <c r="B795" s="3">
        <v>42496</v>
      </c>
      <c r="C795" t="str">
        <f t="shared" si="61"/>
        <v>Friday</v>
      </c>
      <c r="D795" t="str">
        <f t="shared" si="63"/>
        <v>Weekday</v>
      </c>
      <c r="E795" s="2">
        <v>3365</v>
      </c>
      <c r="F795" s="2">
        <v>2.6800000669999999</v>
      </c>
      <c r="G795" s="2">
        <v>2.6800000669999999</v>
      </c>
      <c r="H795" s="2">
        <v>0</v>
      </c>
      <c r="I795" s="2">
        <v>0</v>
      </c>
      <c r="J795" s="2">
        <v>0</v>
      </c>
      <c r="K795" s="2">
        <v>2.6800000669999999</v>
      </c>
      <c r="L795" s="2">
        <v>0</v>
      </c>
      <c r="M795" s="2">
        <v>0</v>
      </c>
      <c r="N795" s="2">
        <v>0</v>
      </c>
      <c r="O795" s="2">
        <v>133</v>
      </c>
      <c r="P795" s="2">
        <v>673</v>
      </c>
      <c r="Q795" s="2">
        <f t="shared" si="62"/>
        <v>133</v>
      </c>
      <c r="R795" s="2">
        <f t="shared" si="60"/>
        <v>806</v>
      </c>
      <c r="S795" t="str">
        <f t="shared" si="64"/>
        <v>Sedentary</v>
      </c>
      <c r="T795" s="2">
        <v>1838</v>
      </c>
    </row>
    <row r="796" spans="1:20" x14ac:dyDescent="0.25">
      <c r="A796" s="2">
        <v>6117666160</v>
      </c>
      <c r="B796" s="3">
        <v>42497</v>
      </c>
      <c r="C796" t="str">
        <f t="shared" si="61"/>
        <v>Saturday</v>
      </c>
      <c r="D796" t="str">
        <f t="shared" si="63"/>
        <v>Weekend</v>
      </c>
      <c r="E796" s="2">
        <v>7336</v>
      </c>
      <c r="F796" s="2">
        <v>5.5399999619999996</v>
      </c>
      <c r="G796" s="2">
        <v>5.5399999619999996</v>
      </c>
      <c r="H796" s="2">
        <v>0</v>
      </c>
      <c r="I796" s="2">
        <v>0</v>
      </c>
      <c r="J796" s="2">
        <v>0</v>
      </c>
      <c r="K796" s="2">
        <v>5.5399999619999996</v>
      </c>
      <c r="L796" s="2">
        <v>0</v>
      </c>
      <c r="M796" s="2">
        <v>0</v>
      </c>
      <c r="N796" s="2">
        <v>0</v>
      </c>
      <c r="O796" s="2">
        <v>412</v>
      </c>
      <c r="P796" s="2">
        <v>456</v>
      </c>
      <c r="Q796" s="2">
        <f t="shared" si="62"/>
        <v>412</v>
      </c>
      <c r="R796" s="2">
        <f t="shared" si="60"/>
        <v>868</v>
      </c>
      <c r="S796" t="str">
        <f t="shared" si="64"/>
        <v>Lightly Active</v>
      </c>
      <c r="T796" s="2">
        <v>2469</v>
      </c>
    </row>
    <row r="797" spans="1:20" x14ac:dyDescent="0.25">
      <c r="A797" s="2">
        <v>6117666160</v>
      </c>
      <c r="B797" s="3">
        <v>42498</v>
      </c>
      <c r="C797" t="str">
        <f t="shared" si="61"/>
        <v>Sunday</v>
      </c>
      <c r="D797" t="str">
        <f t="shared" si="63"/>
        <v>Weekend</v>
      </c>
      <c r="E797" s="2">
        <v>7328</v>
      </c>
      <c r="F797" s="2">
        <v>5.5300002099999999</v>
      </c>
      <c r="G797" s="2">
        <v>5.5300002099999999</v>
      </c>
      <c r="H797" s="2">
        <v>0</v>
      </c>
      <c r="I797" s="2">
        <v>0</v>
      </c>
      <c r="J797" s="2">
        <v>0</v>
      </c>
      <c r="K797" s="2">
        <v>5.5300002099999999</v>
      </c>
      <c r="L797" s="2">
        <v>0</v>
      </c>
      <c r="M797" s="2">
        <v>0</v>
      </c>
      <c r="N797" s="2">
        <v>0</v>
      </c>
      <c r="O797" s="2">
        <v>318</v>
      </c>
      <c r="P797" s="2">
        <v>517</v>
      </c>
      <c r="Q797" s="2">
        <f t="shared" si="62"/>
        <v>318</v>
      </c>
      <c r="R797" s="2">
        <f t="shared" si="60"/>
        <v>835</v>
      </c>
      <c r="S797" t="str">
        <f t="shared" si="64"/>
        <v>Lightly Active</v>
      </c>
      <c r="T797" s="2">
        <v>2250</v>
      </c>
    </row>
    <row r="798" spans="1:20" x14ac:dyDescent="0.25">
      <c r="A798" s="2">
        <v>6290855005</v>
      </c>
      <c r="B798" s="3">
        <v>42461</v>
      </c>
      <c r="C798" t="str">
        <f t="shared" si="61"/>
        <v>Friday</v>
      </c>
      <c r="D798" t="str">
        <f t="shared" si="63"/>
        <v>Weekday</v>
      </c>
      <c r="E798" s="2">
        <v>6633</v>
      </c>
      <c r="F798" s="2">
        <v>5.0100002290000001</v>
      </c>
      <c r="G798" s="2">
        <v>5.0100002290000001</v>
      </c>
      <c r="H798" s="2">
        <v>0</v>
      </c>
      <c r="I798" s="2">
        <v>0</v>
      </c>
      <c r="J798" s="2">
        <v>0</v>
      </c>
      <c r="K798" s="2">
        <v>5.0100002290000001</v>
      </c>
      <c r="L798" s="2">
        <v>0</v>
      </c>
      <c r="M798" s="2">
        <v>0</v>
      </c>
      <c r="N798" s="2">
        <v>0</v>
      </c>
      <c r="O798" s="2">
        <v>280</v>
      </c>
      <c r="P798" s="2">
        <v>1160</v>
      </c>
      <c r="Q798" s="2">
        <f t="shared" si="62"/>
        <v>280</v>
      </c>
      <c r="R798" s="2">
        <f t="shared" ref="R798:R858" si="65">SUM(M798:P798)</f>
        <v>1440</v>
      </c>
      <c r="S798" t="str">
        <f t="shared" si="64"/>
        <v>Lightly Active</v>
      </c>
      <c r="T798" s="2">
        <v>2778</v>
      </c>
    </row>
    <row r="799" spans="1:20" x14ac:dyDescent="0.25">
      <c r="A799" s="2">
        <v>6290855005</v>
      </c>
      <c r="B799" s="3">
        <v>42462</v>
      </c>
      <c r="C799" t="str">
        <f t="shared" si="61"/>
        <v>Saturday</v>
      </c>
      <c r="D799" t="str">
        <f t="shared" si="63"/>
        <v>Weekend</v>
      </c>
      <c r="E799" s="2">
        <v>9548</v>
      </c>
      <c r="F799" s="2">
        <v>7.2199997900000001</v>
      </c>
      <c r="G799" s="2">
        <v>7.2199997900000001</v>
      </c>
      <c r="H799" s="2">
        <v>0</v>
      </c>
      <c r="I799" s="2">
        <v>2.0199999809999998</v>
      </c>
      <c r="J799" s="2">
        <v>3.6800000669999999</v>
      </c>
      <c r="K799" s="2">
        <v>1.519999981</v>
      </c>
      <c r="L799" s="2">
        <v>0</v>
      </c>
      <c r="M799" s="2">
        <v>25</v>
      </c>
      <c r="N799" s="2">
        <v>107</v>
      </c>
      <c r="O799" s="2">
        <v>113</v>
      </c>
      <c r="P799" s="2">
        <v>1195</v>
      </c>
      <c r="Q799" s="2">
        <f t="shared" si="62"/>
        <v>245</v>
      </c>
      <c r="R799" s="2">
        <f t="shared" si="65"/>
        <v>1440</v>
      </c>
      <c r="S799" t="str">
        <f t="shared" si="64"/>
        <v>Fairly Active</v>
      </c>
      <c r="T799" s="2">
        <v>3119</v>
      </c>
    </row>
    <row r="800" spans="1:20" x14ac:dyDescent="0.25">
      <c r="A800" s="2">
        <v>6290855005</v>
      </c>
      <c r="B800" s="3">
        <v>42472</v>
      </c>
      <c r="C800" t="str">
        <f t="shared" si="61"/>
        <v>Tuesday</v>
      </c>
      <c r="D800" t="str">
        <f t="shared" si="63"/>
        <v>Weekday</v>
      </c>
      <c r="E800" s="2">
        <v>4562</v>
      </c>
      <c r="F800" s="2">
        <v>3.4500000480000002</v>
      </c>
      <c r="G800" s="2">
        <v>3.4500000480000002</v>
      </c>
      <c r="H800" s="2">
        <v>0</v>
      </c>
      <c r="I800" s="2">
        <v>0</v>
      </c>
      <c r="J800" s="2">
        <v>0</v>
      </c>
      <c r="K800" s="2">
        <v>3.4500000480000002</v>
      </c>
      <c r="L800" s="2">
        <v>0</v>
      </c>
      <c r="M800" s="2">
        <v>0</v>
      </c>
      <c r="N800" s="2">
        <v>0</v>
      </c>
      <c r="O800" s="2">
        <v>199</v>
      </c>
      <c r="P800" s="2">
        <v>1241</v>
      </c>
      <c r="Q800" s="2">
        <f t="shared" si="62"/>
        <v>199</v>
      </c>
      <c r="R800" s="2">
        <f t="shared" si="65"/>
        <v>1440</v>
      </c>
      <c r="S800" t="str">
        <f t="shared" si="64"/>
        <v>Sedentary</v>
      </c>
      <c r="T800" s="2">
        <v>2560</v>
      </c>
    </row>
    <row r="801" spans="1:20" x14ac:dyDescent="0.25">
      <c r="A801" s="2">
        <v>6290855005</v>
      </c>
      <c r="B801" s="3">
        <v>42473</v>
      </c>
      <c r="C801" t="str">
        <f t="shared" si="61"/>
        <v>Wednesday</v>
      </c>
      <c r="D801" t="str">
        <f t="shared" si="63"/>
        <v>Weekday</v>
      </c>
      <c r="E801" s="2">
        <v>7142</v>
      </c>
      <c r="F801" s="2">
        <v>5.4000000950000002</v>
      </c>
      <c r="G801" s="2">
        <v>5.4000000950000002</v>
      </c>
      <c r="H801" s="2">
        <v>0</v>
      </c>
      <c r="I801" s="2">
        <v>0</v>
      </c>
      <c r="J801" s="2">
        <v>0</v>
      </c>
      <c r="K801" s="2">
        <v>5.3899998660000001</v>
      </c>
      <c r="L801" s="2">
        <v>0.01</v>
      </c>
      <c r="M801" s="2">
        <v>0</v>
      </c>
      <c r="N801" s="2">
        <v>0</v>
      </c>
      <c r="O801" s="2">
        <v>350</v>
      </c>
      <c r="P801" s="2">
        <v>1090</v>
      </c>
      <c r="Q801" s="2">
        <f t="shared" si="62"/>
        <v>350</v>
      </c>
      <c r="R801" s="2">
        <f t="shared" si="65"/>
        <v>1440</v>
      </c>
      <c r="S801" t="str">
        <f t="shared" si="64"/>
        <v>Lightly Active</v>
      </c>
      <c r="T801" s="2">
        <v>2905</v>
      </c>
    </row>
    <row r="802" spans="1:20" x14ac:dyDescent="0.25">
      <c r="A802" s="2">
        <v>6290855005</v>
      </c>
      <c r="B802" s="3">
        <v>42474</v>
      </c>
      <c r="C802" t="str">
        <f t="shared" si="61"/>
        <v>Thursday</v>
      </c>
      <c r="D802" t="str">
        <f t="shared" si="63"/>
        <v>Weekday</v>
      </c>
      <c r="E802" s="2">
        <v>7671</v>
      </c>
      <c r="F802" s="2">
        <v>5.8000001909999996</v>
      </c>
      <c r="G802" s="2">
        <v>5.8000001909999996</v>
      </c>
      <c r="H802" s="2">
        <v>0</v>
      </c>
      <c r="I802" s="2">
        <v>0</v>
      </c>
      <c r="J802" s="2">
        <v>0</v>
      </c>
      <c r="K802" s="2">
        <v>5.7699999809999998</v>
      </c>
      <c r="L802" s="2">
        <v>2.9999998999999999E-2</v>
      </c>
      <c r="M802" s="2">
        <v>0</v>
      </c>
      <c r="N802" s="2">
        <v>0</v>
      </c>
      <c r="O802" s="2">
        <v>363</v>
      </c>
      <c r="P802" s="2">
        <v>1077</v>
      </c>
      <c r="Q802" s="2">
        <f t="shared" si="62"/>
        <v>363</v>
      </c>
      <c r="R802" s="2">
        <f t="shared" si="65"/>
        <v>1440</v>
      </c>
      <c r="S802" t="str">
        <f t="shared" si="64"/>
        <v>Fairly Active</v>
      </c>
      <c r="T802" s="2">
        <v>2952</v>
      </c>
    </row>
    <row r="803" spans="1:20" x14ac:dyDescent="0.25">
      <c r="A803" s="2">
        <v>6290855005</v>
      </c>
      <c r="B803" s="3">
        <v>42475</v>
      </c>
      <c r="C803" t="str">
        <f t="shared" ref="C803:C862" si="66">CHOOSE(WEEKDAY(B803), "Sunday", "Monday", "Tuesday", "Wednesday", "Thursday", "Friday", "Saturday")</f>
        <v>Friday</v>
      </c>
      <c r="D803" t="str">
        <f t="shared" si="63"/>
        <v>Weekday</v>
      </c>
      <c r="E803" s="2">
        <v>9501</v>
      </c>
      <c r="F803" s="2">
        <v>7.1799998279999997</v>
      </c>
      <c r="G803" s="2">
        <v>7.1799998279999997</v>
      </c>
      <c r="H803" s="2">
        <v>0</v>
      </c>
      <c r="I803" s="2">
        <v>0</v>
      </c>
      <c r="J803" s="2">
        <v>0</v>
      </c>
      <c r="K803" s="2">
        <v>7.170000076</v>
      </c>
      <c r="L803" s="2">
        <v>0.01</v>
      </c>
      <c r="M803" s="2">
        <v>0</v>
      </c>
      <c r="N803" s="2">
        <v>0</v>
      </c>
      <c r="O803" s="2">
        <v>328</v>
      </c>
      <c r="P803" s="2">
        <v>1112</v>
      </c>
      <c r="Q803" s="2">
        <f t="shared" ref="Q803:Q862" si="67">SUM(M803:O803)</f>
        <v>328</v>
      </c>
      <c r="R803" s="2">
        <f t="shared" si="65"/>
        <v>1440</v>
      </c>
      <c r="S803" t="str">
        <f t="shared" si="64"/>
        <v>Fairly Active</v>
      </c>
      <c r="T803" s="2">
        <v>2896</v>
      </c>
    </row>
    <row r="804" spans="1:20" x14ac:dyDescent="0.25">
      <c r="A804" s="2">
        <v>6290855005</v>
      </c>
      <c r="B804" s="3">
        <v>42476</v>
      </c>
      <c r="C804" t="str">
        <f t="shared" si="66"/>
        <v>Saturday</v>
      </c>
      <c r="D804" t="str">
        <f t="shared" si="63"/>
        <v>Weekend</v>
      </c>
      <c r="E804" s="2">
        <v>8301</v>
      </c>
      <c r="F804" s="2">
        <v>6.2800002099999999</v>
      </c>
      <c r="G804" s="2">
        <v>6.2800002099999999</v>
      </c>
      <c r="H804" s="2">
        <v>0</v>
      </c>
      <c r="I804" s="2">
        <v>0</v>
      </c>
      <c r="J804" s="2">
        <v>0</v>
      </c>
      <c r="K804" s="2">
        <v>6.2699999809999998</v>
      </c>
      <c r="L804" s="2">
        <v>0.01</v>
      </c>
      <c r="M804" s="2">
        <v>0</v>
      </c>
      <c r="N804" s="2">
        <v>0</v>
      </c>
      <c r="O804" s="2">
        <v>258</v>
      </c>
      <c r="P804" s="2">
        <v>1182</v>
      </c>
      <c r="Q804" s="2">
        <f t="shared" si="67"/>
        <v>258</v>
      </c>
      <c r="R804" s="2">
        <f t="shared" si="65"/>
        <v>1440</v>
      </c>
      <c r="S804" t="str">
        <f t="shared" si="64"/>
        <v>Fairly Active</v>
      </c>
      <c r="T804" s="2">
        <v>2783</v>
      </c>
    </row>
    <row r="805" spans="1:20" x14ac:dyDescent="0.25">
      <c r="A805" s="2">
        <v>6290855005</v>
      </c>
      <c r="B805" s="3">
        <v>42477</v>
      </c>
      <c r="C805" t="str">
        <f t="shared" si="66"/>
        <v>Sunday</v>
      </c>
      <c r="D805" t="str">
        <f t="shared" si="63"/>
        <v>Weekend</v>
      </c>
      <c r="E805" s="2">
        <v>7851</v>
      </c>
      <c r="F805" s="2">
        <v>5.9400000569999998</v>
      </c>
      <c r="G805" s="2">
        <v>5.9400000569999998</v>
      </c>
      <c r="H805" s="2">
        <v>0</v>
      </c>
      <c r="I805" s="2">
        <v>1.1399999860000001</v>
      </c>
      <c r="J805" s="2">
        <v>0.790000021</v>
      </c>
      <c r="K805" s="2">
        <v>4</v>
      </c>
      <c r="L805" s="2">
        <v>0</v>
      </c>
      <c r="M805" s="2">
        <v>31</v>
      </c>
      <c r="N805" s="2">
        <v>12</v>
      </c>
      <c r="O805" s="2">
        <v>225</v>
      </c>
      <c r="P805" s="2">
        <v>1172</v>
      </c>
      <c r="Q805" s="2">
        <f t="shared" si="67"/>
        <v>268</v>
      </c>
      <c r="R805" s="2">
        <f t="shared" si="65"/>
        <v>1440</v>
      </c>
      <c r="S805" t="str">
        <f t="shared" si="64"/>
        <v>Fairly Active</v>
      </c>
      <c r="T805" s="2">
        <v>3171</v>
      </c>
    </row>
    <row r="806" spans="1:20" x14ac:dyDescent="0.25">
      <c r="A806" s="2">
        <v>6290855005</v>
      </c>
      <c r="B806" s="3">
        <v>42478</v>
      </c>
      <c r="C806" t="str">
        <f t="shared" si="66"/>
        <v>Monday</v>
      </c>
      <c r="D806" t="str">
        <f t="shared" si="63"/>
        <v>Weekday</v>
      </c>
      <c r="E806" s="2">
        <v>6885</v>
      </c>
      <c r="F806" s="2">
        <v>5.2100000380000004</v>
      </c>
      <c r="G806" s="2">
        <v>5.2100000380000004</v>
      </c>
      <c r="H806" s="2">
        <v>0</v>
      </c>
      <c r="I806" s="2">
        <v>0</v>
      </c>
      <c r="J806" s="2">
        <v>0</v>
      </c>
      <c r="K806" s="2">
        <v>5.1900000569999998</v>
      </c>
      <c r="L806" s="2">
        <v>0.02</v>
      </c>
      <c r="M806" s="2">
        <v>0</v>
      </c>
      <c r="N806" s="2">
        <v>0</v>
      </c>
      <c r="O806" s="2">
        <v>271</v>
      </c>
      <c r="P806" s="2">
        <v>1169</v>
      </c>
      <c r="Q806" s="2">
        <f t="shared" si="67"/>
        <v>271</v>
      </c>
      <c r="R806" s="2">
        <f t="shared" si="65"/>
        <v>1440</v>
      </c>
      <c r="S806" t="str">
        <f t="shared" si="64"/>
        <v>Lightly Active</v>
      </c>
      <c r="T806" s="2">
        <v>2766</v>
      </c>
    </row>
    <row r="807" spans="1:20" x14ac:dyDescent="0.25">
      <c r="A807" s="2">
        <v>6290855005</v>
      </c>
      <c r="B807" s="3">
        <v>42479</v>
      </c>
      <c r="C807" t="str">
        <f t="shared" si="66"/>
        <v>Tuesday</v>
      </c>
      <c r="D807" t="str">
        <f t="shared" si="63"/>
        <v>Weekday</v>
      </c>
      <c r="E807" s="2">
        <v>7142</v>
      </c>
      <c r="F807" s="2">
        <v>5.4000000950000002</v>
      </c>
      <c r="G807" s="2">
        <v>5.4000000950000002</v>
      </c>
      <c r="H807" s="2">
        <v>0</v>
      </c>
      <c r="I807" s="2">
        <v>0</v>
      </c>
      <c r="J807" s="2">
        <v>0</v>
      </c>
      <c r="K807" s="2">
        <v>5.3899998660000001</v>
      </c>
      <c r="L807" s="2">
        <v>0.01</v>
      </c>
      <c r="M807" s="2">
        <v>0</v>
      </c>
      <c r="N807" s="2">
        <v>0</v>
      </c>
      <c r="O807" s="2">
        <v>321</v>
      </c>
      <c r="P807" s="2">
        <v>1119</v>
      </c>
      <c r="Q807" s="2">
        <f t="shared" si="67"/>
        <v>321</v>
      </c>
      <c r="R807" s="2">
        <f t="shared" si="65"/>
        <v>1440</v>
      </c>
      <c r="S807" t="str">
        <f t="shared" si="64"/>
        <v>Lightly Active</v>
      </c>
      <c r="T807" s="2">
        <v>2839</v>
      </c>
    </row>
    <row r="808" spans="1:20" x14ac:dyDescent="0.25">
      <c r="A808" s="2">
        <v>6290855005</v>
      </c>
      <c r="B808" s="3">
        <v>42480</v>
      </c>
      <c r="C808" t="str">
        <f t="shared" si="66"/>
        <v>Wednesday</v>
      </c>
      <c r="D808" t="str">
        <f t="shared" si="63"/>
        <v>Weekday</v>
      </c>
      <c r="E808" s="2">
        <v>6361</v>
      </c>
      <c r="F808" s="2">
        <v>4.8099999430000002</v>
      </c>
      <c r="G808" s="2">
        <v>4.8099999430000002</v>
      </c>
      <c r="H808" s="2">
        <v>0</v>
      </c>
      <c r="I808" s="2">
        <v>0</v>
      </c>
      <c r="J808" s="2">
        <v>0</v>
      </c>
      <c r="K808" s="2">
        <v>4.8000001909999996</v>
      </c>
      <c r="L808" s="2">
        <v>0.01</v>
      </c>
      <c r="M808" s="2">
        <v>0</v>
      </c>
      <c r="N808" s="2">
        <v>0</v>
      </c>
      <c r="O808" s="2">
        <v>258</v>
      </c>
      <c r="P808" s="2">
        <v>1182</v>
      </c>
      <c r="Q808" s="2">
        <f t="shared" si="67"/>
        <v>258</v>
      </c>
      <c r="R808" s="2">
        <f t="shared" si="65"/>
        <v>1440</v>
      </c>
      <c r="S808" t="str">
        <f t="shared" si="64"/>
        <v>Lightly Active</v>
      </c>
      <c r="T808" s="2">
        <v>2701</v>
      </c>
    </row>
    <row r="809" spans="1:20" x14ac:dyDescent="0.25">
      <c r="A809" s="2">
        <v>6290855005</v>
      </c>
      <c r="B809" s="3">
        <v>42482</v>
      </c>
      <c r="C809" t="str">
        <f t="shared" si="66"/>
        <v>Friday</v>
      </c>
      <c r="D809" t="str">
        <f t="shared" si="63"/>
        <v>Weekday</v>
      </c>
      <c r="E809" s="2">
        <v>6238</v>
      </c>
      <c r="F809" s="2">
        <v>4.7199997900000001</v>
      </c>
      <c r="G809" s="2">
        <v>4.7199997900000001</v>
      </c>
      <c r="H809" s="2">
        <v>0</v>
      </c>
      <c r="I809" s="2">
        <v>0</v>
      </c>
      <c r="J809" s="2">
        <v>0</v>
      </c>
      <c r="K809" s="2">
        <v>4.7199997900000001</v>
      </c>
      <c r="L809" s="2">
        <v>0</v>
      </c>
      <c r="M809" s="2">
        <v>0</v>
      </c>
      <c r="N809" s="2">
        <v>0</v>
      </c>
      <c r="O809" s="2">
        <v>302</v>
      </c>
      <c r="P809" s="2">
        <v>1138</v>
      </c>
      <c r="Q809" s="2">
        <f t="shared" si="67"/>
        <v>302</v>
      </c>
      <c r="R809" s="2">
        <f t="shared" si="65"/>
        <v>1440</v>
      </c>
      <c r="S809" t="str">
        <f t="shared" si="64"/>
        <v>Lightly Active</v>
      </c>
      <c r="T809" s="2">
        <v>2796</v>
      </c>
    </row>
    <row r="810" spans="1:20" x14ac:dyDescent="0.25">
      <c r="A810" s="2">
        <v>6290855005</v>
      </c>
      <c r="B810" s="3">
        <v>42484</v>
      </c>
      <c r="C810" t="str">
        <f t="shared" si="66"/>
        <v>Sunday</v>
      </c>
      <c r="D810" t="str">
        <f t="shared" si="63"/>
        <v>Weekend</v>
      </c>
      <c r="E810" s="2">
        <v>5896</v>
      </c>
      <c r="F810" s="2">
        <v>4.4600000380000004</v>
      </c>
      <c r="G810" s="2">
        <v>4.4600000380000004</v>
      </c>
      <c r="H810" s="2">
        <v>0</v>
      </c>
      <c r="I810" s="2">
        <v>0</v>
      </c>
      <c r="J810" s="2">
        <v>0</v>
      </c>
      <c r="K810" s="2">
        <v>4.4600000380000004</v>
      </c>
      <c r="L810" s="2">
        <v>0</v>
      </c>
      <c r="M810" s="2">
        <v>0</v>
      </c>
      <c r="N810" s="2">
        <v>0</v>
      </c>
      <c r="O810" s="2">
        <v>258</v>
      </c>
      <c r="P810" s="2">
        <v>1182</v>
      </c>
      <c r="Q810" s="2">
        <f t="shared" si="67"/>
        <v>258</v>
      </c>
      <c r="R810" s="2">
        <f t="shared" si="65"/>
        <v>1440</v>
      </c>
      <c r="S810" t="str">
        <f t="shared" si="64"/>
        <v>Lightly Active</v>
      </c>
      <c r="T810" s="2">
        <v>2703</v>
      </c>
    </row>
    <row r="811" spans="1:20" x14ac:dyDescent="0.25">
      <c r="A811" s="2">
        <v>6290855005</v>
      </c>
      <c r="B811" s="3">
        <v>42485</v>
      </c>
      <c r="C811" t="str">
        <f t="shared" si="66"/>
        <v>Monday</v>
      </c>
      <c r="D811" t="str">
        <f t="shared" si="63"/>
        <v>Weekday</v>
      </c>
      <c r="E811" s="2">
        <v>7802</v>
      </c>
      <c r="F811" s="2">
        <v>5.9000000950000002</v>
      </c>
      <c r="G811" s="2">
        <v>5.9000000950000002</v>
      </c>
      <c r="H811" s="2">
        <v>0</v>
      </c>
      <c r="I811" s="2">
        <v>0.68000000699999996</v>
      </c>
      <c r="J811" s="2">
        <v>0.18000000699999999</v>
      </c>
      <c r="K811" s="2">
        <v>5.0300002099999999</v>
      </c>
      <c r="L811" s="2">
        <v>0.01</v>
      </c>
      <c r="M811" s="2">
        <v>8</v>
      </c>
      <c r="N811" s="2">
        <v>3</v>
      </c>
      <c r="O811" s="2">
        <v>249</v>
      </c>
      <c r="P811" s="2">
        <v>1180</v>
      </c>
      <c r="Q811" s="2">
        <f t="shared" si="67"/>
        <v>260</v>
      </c>
      <c r="R811" s="2">
        <f t="shared" si="65"/>
        <v>1440</v>
      </c>
      <c r="S811" t="str">
        <f t="shared" si="64"/>
        <v>Fairly Active</v>
      </c>
      <c r="T811" s="2">
        <v>2771</v>
      </c>
    </row>
    <row r="812" spans="1:20" x14ac:dyDescent="0.25">
      <c r="A812" s="2">
        <v>6290855005</v>
      </c>
      <c r="B812" s="3">
        <v>42487</v>
      </c>
      <c r="C812" t="str">
        <f t="shared" si="66"/>
        <v>Wednesday</v>
      </c>
      <c r="D812" t="str">
        <f t="shared" si="63"/>
        <v>Weekday</v>
      </c>
      <c r="E812" s="2">
        <v>5565</v>
      </c>
      <c r="F812" s="2">
        <v>4.2100000380000004</v>
      </c>
      <c r="G812" s="2">
        <v>4.2100000380000004</v>
      </c>
      <c r="H812" s="2">
        <v>0</v>
      </c>
      <c r="I812" s="2">
        <v>0</v>
      </c>
      <c r="J812" s="2">
        <v>0</v>
      </c>
      <c r="K812" s="2">
        <v>4.1799998279999997</v>
      </c>
      <c r="L812" s="2">
        <v>2.9999998999999999E-2</v>
      </c>
      <c r="M812" s="2">
        <v>0</v>
      </c>
      <c r="N812" s="2">
        <v>0</v>
      </c>
      <c r="O812" s="2">
        <v>287</v>
      </c>
      <c r="P812" s="2">
        <v>1153</v>
      </c>
      <c r="Q812" s="2">
        <f t="shared" si="67"/>
        <v>287</v>
      </c>
      <c r="R812" s="2">
        <f t="shared" si="65"/>
        <v>1440</v>
      </c>
      <c r="S812" t="str">
        <f t="shared" si="64"/>
        <v>Lightly Active</v>
      </c>
      <c r="T812" s="2">
        <v>2743</v>
      </c>
    </row>
    <row r="813" spans="1:20" x14ac:dyDescent="0.25">
      <c r="A813" s="2">
        <v>6290855005</v>
      </c>
      <c r="B813" s="3">
        <v>42488</v>
      </c>
      <c r="C813" t="str">
        <f t="shared" si="66"/>
        <v>Thursday</v>
      </c>
      <c r="D813" t="str">
        <f t="shared" si="63"/>
        <v>Weekday</v>
      </c>
      <c r="E813" s="2">
        <v>5731</v>
      </c>
      <c r="F813" s="2">
        <v>4.329999924</v>
      </c>
      <c r="G813" s="2">
        <v>4.329999924</v>
      </c>
      <c r="H813" s="2">
        <v>0</v>
      </c>
      <c r="I813" s="2">
        <v>0</v>
      </c>
      <c r="J813" s="2">
        <v>0</v>
      </c>
      <c r="K813" s="2">
        <v>4.329999924</v>
      </c>
      <c r="L813" s="2">
        <v>0</v>
      </c>
      <c r="M813" s="2">
        <v>0</v>
      </c>
      <c r="N813" s="2">
        <v>0</v>
      </c>
      <c r="O813" s="2">
        <v>255</v>
      </c>
      <c r="P813" s="2">
        <v>1185</v>
      </c>
      <c r="Q813" s="2">
        <f t="shared" si="67"/>
        <v>255</v>
      </c>
      <c r="R813" s="2">
        <f t="shared" si="65"/>
        <v>1440</v>
      </c>
      <c r="S813" t="str">
        <f t="shared" si="64"/>
        <v>Lightly Active</v>
      </c>
      <c r="T813" s="2">
        <v>2687</v>
      </c>
    </row>
    <row r="814" spans="1:20" x14ac:dyDescent="0.25">
      <c r="A814" s="2">
        <v>6290855005</v>
      </c>
      <c r="B814" s="3">
        <v>42490</v>
      </c>
      <c r="C814" t="str">
        <f t="shared" si="66"/>
        <v>Saturday</v>
      </c>
      <c r="D814" t="str">
        <f t="shared" si="63"/>
        <v>Weekend</v>
      </c>
      <c r="E814" s="2">
        <v>6744</v>
      </c>
      <c r="F814" s="2">
        <v>5.0999999049999998</v>
      </c>
      <c r="G814" s="2">
        <v>5.0999999049999998</v>
      </c>
      <c r="H814" s="2">
        <v>0</v>
      </c>
      <c r="I814" s="2">
        <v>0</v>
      </c>
      <c r="J814" s="2">
        <v>0</v>
      </c>
      <c r="K814" s="2">
        <v>5.0900001530000001</v>
      </c>
      <c r="L814" s="2">
        <v>0.01</v>
      </c>
      <c r="M814" s="2">
        <v>0</v>
      </c>
      <c r="N814" s="2">
        <v>0</v>
      </c>
      <c r="O814" s="2">
        <v>324</v>
      </c>
      <c r="P814" s="2">
        <v>1116</v>
      </c>
      <c r="Q814" s="2">
        <f t="shared" si="67"/>
        <v>324</v>
      </c>
      <c r="R814" s="2">
        <f t="shared" si="65"/>
        <v>1440</v>
      </c>
      <c r="S814" t="str">
        <f t="shared" si="64"/>
        <v>Lightly Active</v>
      </c>
      <c r="T814" s="2">
        <v>2843</v>
      </c>
    </row>
    <row r="815" spans="1:20" x14ac:dyDescent="0.25">
      <c r="A815" s="2">
        <v>6290855005</v>
      </c>
      <c r="B815" s="3">
        <v>42491</v>
      </c>
      <c r="C815" t="str">
        <f t="shared" si="66"/>
        <v>Sunday</v>
      </c>
      <c r="D815" t="str">
        <f t="shared" si="63"/>
        <v>Weekend</v>
      </c>
      <c r="E815" s="2">
        <v>9837</v>
      </c>
      <c r="F815" s="2">
        <v>7.4400000569999998</v>
      </c>
      <c r="G815" s="2">
        <v>7.4400000569999998</v>
      </c>
      <c r="H815" s="2">
        <v>0</v>
      </c>
      <c r="I815" s="2">
        <v>0.66000002599999996</v>
      </c>
      <c r="J815" s="2">
        <v>2.75</v>
      </c>
      <c r="K815" s="2">
        <v>4</v>
      </c>
      <c r="L815" s="2">
        <v>0.02</v>
      </c>
      <c r="M815" s="2">
        <v>8</v>
      </c>
      <c r="N815" s="2">
        <v>95</v>
      </c>
      <c r="O815" s="2">
        <v>282</v>
      </c>
      <c r="P815" s="2">
        <v>1055</v>
      </c>
      <c r="Q815" s="2">
        <f t="shared" si="67"/>
        <v>385</v>
      </c>
      <c r="R815" s="2">
        <f t="shared" si="65"/>
        <v>1440</v>
      </c>
      <c r="S815" t="str">
        <f t="shared" si="64"/>
        <v>Fairly Active</v>
      </c>
      <c r="T815" s="2">
        <v>3327</v>
      </c>
    </row>
    <row r="816" spans="1:20" x14ac:dyDescent="0.25">
      <c r="A816" s="2">
        <v>6290855005</v>
      </c>
      <c r="B816" s="3">
        <v>42492</v>
      </c>
      <c r="C816" t="str">
        <f t="shared" si="66"/>
        <v>Monday</v>
      </c>
      <c r="D816" t="str">
        <f t="shared" si="63"/>
        <v>Weekday</v>
      </c>
      <c r="E816" s="2">
        <v>6781</v>
      </c>
      <c r="F816" s="2">
        <v>5.1300001139999996</v>
      </c>
      <c r="G816" s="2">
        <v>5.1300001139999996</v>
      </c>
      <c r="H816" s="2">
        <v>0</v>
      </c>
      <c r="I816" s="2">
        <v>0</v>
      </c>
      <c r="J816" s="2">
        <v>0</v>
      </c>
      <c r="K816" s="2">
        <v>5.1100001339999999</v>
      </c>
      <c r="L816" s="2">
        <v>0.02</v>
      </c>
      <c r="M816" s="2">
        <v>0</v>
      </c>
      <c r="N816" s="2">
        <v>0</v>
      </c>
      <c r="O816" s="2">
        <v>268</v>
      </c>
      <c r="P816" s="2">
        <v>1172</v>
      </c>
      <c r="Q816" s="2">
        <f t="shared" si="67"/>
        <v>268</v>
      </c>
      <c r="R816" s="2">
        <f t="shared" si="65"/>
        <v>1440</v>
      </c>
      <c r="S816" t="str">
        <f t="shared" si="64"/>
        <v>Lightly Active</v>
      </c>
      <c r="T816" s="2">
        <v>2725</v>
      </c>
    </row>
    <row r="817" spans="1:20" x14ac:dyDescent="0.25">
      <c r="A817" s="2">
        <v>6290855005</v>
      </c>
      <c r="B817" s="3">
        <v>42493</v>
      </c>
      <c r="C817" t="str">
        <f t="shared" si="66"/>
        <v>Tuesday</v>
      </c>
      <c r="D817" t="str">
        <f t="shared" si="63"/>
        <v>Weekday</v>
      </c>
      <c r="E817" s="2">
        <v>6047</v>
      </c>
      <c r="F817" s="2">
        <v>4.5700001720000003</v>
      </c>
      <c r="G817" s="2">
        <v>4.5700001720000003</v>
      </c>
      <c r="H817" s="2">
        <v>0</v>
      </c>
      <c r="I817" s="2">
        <v>0</v>
      </c>
      <c r="J817" s="2">
        <v>0</v>
      </c>
      <c r="K817" s="2">
        <v>4.5700001720000003</v>
      </c>
      <c r="L817" s="2">
        <v>0</v>
      </c>
      <c r="M817" s="2">
        <v>0</v>
      </c>
      <c r="N817" s="2">
        <v>0</v>
      </c>
      <c r="O817" s="2">
        <v>240</v>
      </c>
      <c r="P817" s="2">
        <v>1200</v>
      </c>
      <c r="Q817" s="2">
        <f t="shared" si="67"/>
        <v>240</v>
      </c>
      <c r="R817" s="2">
        <f t="shared" si="65"/>
        <v>1440</v>
      </c>
      <c r="S817" t="str">
        <f t="shared" si="64"/>
        <v>Lightly Active</v>
      </c>
      <c r="T817" s="2">
        <v>2671</v>
      </c>
    </row>
    <row r="818" spans="1:20" x14ac:dyDescent="0.25">
      <c r="A818" s="2">
        <v>6290855005</v>
      </c>
      <c r="B818" s="3">
        <v>42494</v>
      </c>
      <c r="C818" t="str">
        <f t="shared" si="66"/>
        <v>Wednesday</v>
      </c>
      <c r="D818" t="str">
        <f t="shared" si="63"/>
        <v>Weekday</v>
      </c>
      <c r="E818" s="2">
        <v>5832</v>
      </c>
      <c r="F818" s="2">
        <v>4.4099998469999999</v>
      </c>
      <c r="G818" s="2">
        <v>4.4099998469999999</v>
      </c>
      <c r="H818" s="2">
        <v>0</v>
      </c>
      <c r="I818" s="2">
        <v>0</v>
      </c>
      <c r="J818" s="2">
        <v>0</v>
      </c>
      <c r="K818" s="2">
        <v>4.4000000950000002</v>
      </c>
      <c r="L818" s="2">
        <v>0.01</v>
      </c>
      <c r="M818" s="2">
        <v>0</v>
      </c>
      <c r="N818" s="2">
        <v>0</v>
      </c>
      <c r="O818" s="2">
        <v>272</v>
      </c>
      <c r="P818" s="2">
        <v>1168</v>
      </c>
      <c r="Q818" s="2">
        <f t="shared" si="67"/>
        <v>272</v>
      </c>
      <c r="R818" s="2">
        <f t="shared" si="65"/>
        <v>1440</v>
      </c>
      <c r="S818" t="str">
        <f t="shared" si="64"/>
        <v>Lightly Active</v>
      </c>
      <c r="T818" s="2">
        <v>2718</v>
      </c>
    </row>
    <row r="819" spans="1:20" x14ac:dyDescent="0.25">
      <c r="A819" s="2">
        <v>6290855005</v>
      </c>
      <c r="B819" s="3">
        <v>42495</v>
      </c>
      <c r="C819" t="str">
        <f t="shared" si="66"/>
        <v>Thursday</v>
      </c>
      <c r="D819" t="str">
        <f t="shared" si="63"/>
        <v>Weekday</v>
      </c>
      <c r="E819" s="2">
        <v>6339</v>
      </c>
      <c r="F819" s="2">
        <v>4.7899999619999996</v>
      </c>
      <c r="G819" s="2">
        <v>4.7899999619999996</v>
      </c>
      <c r="H819" s="2">
        <v>0</v>
      </c>
      <c r="I819" s="2">
        <v>0</v>
      </c>
      <c r="J819" s="2">
        <v>0</v>
      </c>
      <c r="K819" s="2">
        <v>4.7899999619999996</v>
      </c>
      <c r="L819" s="2">
        <v>0</v>
      </c>
      <c r="M819" s="2">
        <v>0</v>
      </c>
      <c r="N819" s="2">
        <v>0</v>
      </c>
      <c r="O819" s="2">
        <v>239</v>
      </c>
      <c r="P819" s="2">
        <v>1201</v>
      </c>
      <c r="Q819" s="2">
        <f t="shared" si="67"/>
        <v>239</v>
      </c>
      <c r="R819" s="2">
        <f t="shared" si="65"/>
        <v>1440</v>
      </c>
      <c r="S819" t="str">
        <f t="shared" si="64"/>
        <v>Lightly Active</v>
      </c>
      <c r="T819" s="2">
        <v>2682</v>
      </c>
    </row>
    <row r="820" spans="1:20" x14ac:dyDescent="0.25">
      <c r="A820" s="2">
        <v>6290855005</v>
      </c>
      <c r="B820" s="3">
        <v>42496</v>
      </c>
      <c r="C820" t="str">
        <f t="shared" si="66"/>
        <v>Friday</v>
      </c>
      <c r="D820" t="str">
        <f t="shared" si="63"/>
        <v>Weekday</v>
      </c>
      <c r="E820" s="2">
        <v>6116</v>
      </c>
      <c r="F820" s="2">
        <v>4.6199998860000004</v>
      </c>
      <c r="G820" s="2">
        <v>4.6199998860000004</v>
      </c>
      <c r="H820" s="2">
        <v>0</v>
      </c>
      <c r="I820" s="2">
        <v>0</v>
      </c>
      <c r="J820" s="2">
        <v>0</v>
      </c>
      <c r="K820" s="2">
        <v>4.5900001530000001</v>
      </c>
      <c r="L820" s="2">
        <v>2.9999998999999999E-2</v>
      </c>
      <c r="M820" s="2">
        <v>0</v>
      </c>
      <c r="N820" s="2">
        <v>0</v>
      </c>
      <c r="O820" s="2">
        <v>305</v>
      </c>
      <c r="P820" s="2">
        <v>1135</v>
      </c>
      <c r="Q820" s="2">
        <f t="shared" si="67"/>
        <v>305</v>
      </c>
      <c r="R820" s="2">
        <f t="shared" si="65"/>
        <v>1440</v>
      </c>
      <c r="S820" t="str">
        <f t="shared" si="64"/>
        <v>Lightly Active</v>
      </c>
      <c r="T820" s="2">
        <v>2806</v>
      </c>
    </row>
    <row r="821" spans="1:20" x14ac:dyDescent="0.25">
      <c r="A821" s="2">
        <v>6290855005</v>
      </c>
      <c r="B821" s="3">
        <v>42497</v>
      </c>
      <c r="C821" t="str">
        <f t="shared" si="66"/>
        <v>Saturday</v>
      </c>
      <c r="D821" t="str">
        <f t="shared" si="63"/>
        <v>Weekend</v>
      </c>
      <c r="E821" s="2">
        <v>5510</v>
      </c>
      <c r="F821" s="2">
        <v>4.170000076</v>
      </c>
      <c r="G821" s="2">
        <v>4.170000076</v>
      </c>
      <c r="H821" s="2">
        <v>0</v>
      </c>
      <c r="I821" s="2">
        <v>0</v>
      </c>
      <c r="J821" s="2">
        <v>0</v>
      </c>
      <c r="K821" s="2">
        <v>4.1599998469999999</v>
      </c>
      <c r="L821" s="2">
        <v>0</v>
      </c>
      <c r="M821" s="2">
        <v>0</v>
      </c>
      <c r="N821" s="2">
        <v>0</v>
      </c>
      <c r="O821" s="2">
        <v>227</v>
      </c>
      <c r="P821" s="2">
        <v>1213</v>
      </c>
      <c r="Q821" s="2">
        <f t="shared" si="67"/>
        <v>227</v>
      </c>
      <c r="R821" s="2">
        <f t="shared" si="65"/>
        <v>1440</v>
      </c>
      <c r="S821" t="str">
        <f t="shared" si="64"/>
        <v>Lightly Active</v>
      </c>
      <c r="T821" s="2">
        <v>2613</v>
      </c>
    </row>
    <row r="822" spans="1:20" x14ac:dyDescent="0.25">
      <c r="A822" s="2">
        <v>6290855005</v>
      </c>
      <c r="B822" s="3">
        <v>42498</v>
      </c>
      <c r="C822" t="str">
        <f t="shared" si="66"/>
        <v>Sunday</v>
      </c>
      <c r="D822" t="str">
        <f t="shared" si="63"/>
        <v>Weekend</v>
      </c>
      <c r="E822" s="2">
        <v>7706</v>
      </c>
      <c r="F822" s="2">
        <v>5.829999924</v>
      </c>
      <c r="G822" s="2">
        <v>5.829999924</v>
      </c>
      <c r="H822" s="2">
        <v>0</v>
      </c>
      <c r="I822" s="2">
        <v>0</v>
      </c>
      <c r="J822" s="2">
        <v>0</v>
      </c>
      <c r="K822" s="2">
        <v>5.8200001720000003</v>
      </c>
      <c r="L822" s="2">
        <v>0</v>
      </c>
      <c r="M822" s="2">
        <v>0</v>
      </c>
      <c r="N822" s="2">
        <v>0</v>
      </c>
      <c r="O822" s="2">
        <v>251</v>
      </c>
      <c r="P822" s="2">
        <v>1189</v>
      </c>
      <c r="Q822" s="2">
        <f t="shared" si="67"/>
        <v>251</v>
      </c>
      <c r="R822" s="2">
        <f t="shared" si="65"/>
        <v>1440</v>
      </c>
      <c r="S822" t="str">
        <f t="shared" si="64"/>
        <v>Fairly Active</v>
      </c>
      <c r="T822" s="2">
        <v>2712</v>
      </c>
    </row>
    <row r="823" spans="1:20" x14ac:dyDescent="0.25">
      <c r="A823" s="2">
        <v>6290855005</v>
      </c>
      <c r="B823" s="3">
        <v>42499</v>
      </c>
      <c r="C823" t="str">
        <f t="shared" si="66"/>
        <v>Monday</v>
      </c>
      <c r="D823" t="str">
        <f t="shared" si="63"/>
        <v>Weekday</v>
      </c>
      <c r="E823" s="2">
        <v>6277</v>
      </c>
      <c r="F823" s="2">
        <v>4.75</v>
      </c>
      <c r="G823" s="2">
        <v>4.75</v>
      </c>
      <c r="H823" s="2">
        <v>0</v>
      </c>
      <c r="I823" s="2">
        <v>0</v>
      </c>
      <c r="J823" s="2">
        <v>0</v>
      </c>
      <c r="K823" s="2">
        <v>4.7300000190000002</v>
      </c>
      <c r="L823" s="2">
        <v>0.02</v>
      </c>
      <c r="M823" s="2">
        <v>0</v>
      </c>
      <c r="N823" s="2">
        <v>0</v>
      </c>
      <c r="O823" s="2">
        <v>264</v>
      </c>
      <c r="P823" s="2">
        <v>800</v>
      </c>
      <c r="Q823" s="2">
        <f t="shared" si="67"/>
        <v>264</v>
      </c>
      <c r="R823" s="2">
        <f t="shared" si="65"/>
        <v>1064</v>
      </c>
      <c r="S823" t="str">
        <f t="shared" si="64"/>
        <v>Lightly Active</v>
      </c>
      <c r="T823" s="2">
        <v>2175</v>
      </c>
    </row>
    <row r="824" spans="1:20" x14ac:dyDescent="0.25">
      <c r="A824" s="2">
        <v>6391747486</v>
      </c>
      <c r="B824" s="3">
        <v>42462</v>
      </c>
      <c r="C824" t="str">
        <f t="shared" si="66"/>
        <v>Saturday</v>
      </c>
      <c r="D824" t="str">
        <f t="shared" si="63"/>
        <v>Weekend</v>
      </c>
      <c r="E824" s="2">
        <v>2101</v>
      </c>
      <c r="F824" s="2">
        <v>2.0299999710000001</v>
      </c>
      <c r="G824" s="2">
        <v>0</v>
      </c>
      <c r="H824" s="2">
        <v>2.0277729029999998</v>
      </c>
      <c r="I824" s="2">
        <v>2.0299999710000001</v>
      </c>
      <c r="J824" s="2">
        <v>0</v>
      </c>
      <c r="K824" s="2">
        <v>0</v>
      </c>
      <c r="L824" s="2">
        <v>0</v>
      </c>
      <c r="M824" s="2">
        <v>46</v>
      </c>
      <c r="N824" s="2">
        <v>0</v>
      </c>
      <c r="O824" s="2">
        <v>0</v>
      </c>
      <c r="P824" s="2">
        <v>1394</v>
      </c>
      <c r="Q824" s="2">
        <f t="shared" si="67"/>
        <v>46</v>
      </c>
      <c r="R824" s="2">
        <f t="shared" si="65"/>
        <v>1440</v>
      </c>
      <c r="S824" t="str">
        <f t="shared" si="64"/>
        <v>Sedentary</v>
      </c>
      <c r="T824" s="2">
        <v>2224</v>
      </c>
    </row>
    <row r="825" spans="1:20" x14ac:dyDescent="0.25">
      <c r="A825" s="2">
        <v>6391747486</v>
      </c>
      <c r="B825" s="3">
        <v>42465</v>
      </c>
      <c r="C825" t="str">
        <f t="shared" si="66"/>
        <v>Tuesday</v>
      </c>
      <c r="D825" t="str">
        <f t="shared" si="63"/>
        <v>Weekday</v>
      </c>
      <c r="E825" s="2">
        <v>9766</v>
      </c>
      <c r="F825" s="2">
        <v>7.5100002290000001</v>
      </c>
      <c r="G825" s="2">
        <v>0.77999997099999996</v>
      </c>
      <c r="H825" s="2">
        <v>6.7270569800000004</v>
      </c>
      <c r="I825" s="2">
        <v>0</v>
      </c>
      <c r="J825" s="2">
        <v>5.0000001000000002E-2</v>
      </c>
      <c r="K825" s="2">
        <v>7.4600000380000004</v>
      </c>
      <c r="L825" s="2">
        <v>0</v>
      </c>
      <c r="M825" s="2">
        <v>0</v>
      </c>
      <c r="N825" s="2">
        <v>6</v>
      </c>
      <c r="O825" s="2">
        <v>301</v>
      </c>
      <c r="P825" s="2">
        <v>1133</v>
      </c>
      <c r="Q825" s="2">
        <f t="shared" si="67"/>
        <v>307</v>
      </c>
      <c r="R825" s="2">
        <f t="shared" si="65"/>
        <v>1440</v>
      </c>
      <c r="S825" t="str">
        <f t="shared" si="64"/>
        <v>Fairly Active</v>
      </c>
      <c r="T825" s="2">
        <v>2442</v>
      </c>
    </row>
    <row r="826" spans="1:20" x14ac:dyDescent="0.25">
      <c r="A826" s="2">
        <v>6775888955</v>
      </c>
      <c r="B826" s="3">
        <v>42461</v>
      </c>
      <c r="C826" t="str">
        <f t="shared" si="66"/>
        <v>Friday</v>
      </c>
      <c r="D826" t="str">
        <f t="shared" si="63"/>
        <v>Weekday</v>
      </c>
      <c r="E826" s="2">
        <v>7225</v>
      </c>
      <c r="F826" s="2">
        <v>5.1799998279999997</v>
      </c>
      <c r="G826" s="2">
        <v>5.1799998279999997</v>
      </c>
      <c r="H826" s="2">
        <v>0</v>
      </c>
      <c r="I826" s="2">
        <v>1.730000019</v>
      </c>
      <c r="J826" s="2">
        <v>1.269999981</v>
      </c>
      <c r="K826" s="2">
        <v>2.1800000669999999</v>
      </c>
      <c r="L826" s="2">
        <v>0</v>
      </c>
      <c r="M826" s="2">
        <v>25</v>
      </c>
      <c r="N826" s="2">
        <v>50</v>
      </c>
      <c r="O826" s="2">
        <v>163</v>
      </c>
      <c r="P826" s="2">
        <v>1189</v>
      </c>
      <c r="Q826" s="2">
        <f t="shared" si="67"/>
        <v>238</v>
      </c>
      <c r="R826" s="2">
        <f t="shared" si="65"/>
        <v>1427</v>
      </c>
      <c r="S826" t="str">
        <f t="shared" si="64"/>
        <v>Lightly Active</v>
      </c>
      <c r="T826" s="2">
        <v>3065</v>
      </c>
    </row>
    <row r="827" spans="1:20" x14ac:dyDescent="0.25">
      <c r="A827" s="2">
        <v>6775888955</v>
      </c>
      <c r="B827" s="3">
        <v>42462</v>
      </c>
      <c r="C827" t="str">
        <f t="shared" si="66"/>
        <v>Saturday</v>
      </c>
      <c r="D827" t="str">
        <f t="shared" si="63"/>
        <v>Weekend</v>
      </c>
      <c r="E827" s="2">
        <v>1988</v>
      </c>
      <c r="F827" s="2">
        <v>1.4299999480000001</v>
      </c>
      <c r="G827" s="2">
        <v>1.4299999480000001</v>
      </c>
      <c r="H827" s="2">
        <v>0</v>
      </c>
      <c r="I827" s="2">
        <v>0</v>
      </c>
      <c r="J827" s="2">
        <v>0</v>
      </c>
      <c r="K827" s="2">
        <v>1.4299999480000001</v>
      </c>
      <c r="L827" s="2">
        <v>0</v>
      </c>
      <c r="M827" s="2">
        <v>0</v>
      </c>
      <c r="N827" s="2">
        <v>0</v>
      </c>
      <c r="O827" s="2">
        <v>79</v>
      </c>
      <c r="P827" s="2">
        <v>909</v>
      </c>
      <c r="Q827" s="2">
        <f t="shared" si="67"/>
        <v>79</v>
      </c>
      <c r="R827" s="2">
        <f t="shared" si="65"/>
        <v>988</v>
      </c>
      <c r="S827" t="str">
        <f t="shared" si="64"/>
        <v>Sedentary</v>
      </c>
      <c r="T827" s="2">
        <v>2207</v>
      </c>
    </row>
    <row r="828" spans="1:20" x14ac:dyDescent="0.25">
      <c r="A828" s="2">
        <v>6775888955</v>
      </c>
      <c r="B828" s="3">
        <v>42463</v>
      </c>
      <c r="C828" t="str">
        <f t="shared" si="66"/>
        <v>Sunday</v>
      </c>
      <c r="D828" t="str">
        <f t="shared" si="63"/>
        <v>Weekend</v>
      </c>
      <c r="E828" s="2">
        <v>1577</v>
      </c>
      <c r="F828" s="2">
        <v>1.1299999949999999</v>
      </c>
      <c r="G828" s="2">
        <v>1.1299999949999999</v>
      </c>
      <c r="H828" s="2">
        <v>0</v>
      </c>
      <c r="I828" s="2">
        <v>7.0000000000000007E-2</v>
      </c>
      <c r="J828" s="2">
        <v>0.88999998599999997</v>
      </c>
      <c r="K828" s="2">
        <v>0.17000000200000001</v>
      </c>
      <c r="L828" s="2">
        <v>0</v>
      </c>
      <c r="M828" s="2">
        <v>1</v>
      </c>
      <c r="N828" s="2">
        <v>17</v>
      </c>
      <c r="O828" s="2">
        <v>8</v>
      </c>
      <c r="P828" s="2">
        <v>1414</v>
      </c>
      <c r="Q828" s="2">
        <f t="shared" si="67"/>
        <v>26</v>
      </c>
      <c r="R828" s="2">
        <f t="shared" si="65"/>
        <v>1440</v>
      </c>
      <c r="S828" t="str">
        <f t="shared" si="64"/>
        <v>Sedentary</v>
      </c>
      <c r="T828" s="2">
        <v>1977</v>
      </c>
    </row>
    <row r="829" spans="1:20" x14ac:dyDescent="0.25">
      <c r="A829" s="2">
        <v>6775888955</v>
      </c>
      <c r="B829" s="3">
        <v>42465</v>
      </c>
      <c r="C829" t="str">
        <f t="shared" si="66"/>
        <v>Tuesday</v>
      </c>
      <c r="D829" t="str">
        <f t="shared" si="63"/>
        <v>Weekday</v>
      </c>
      <c r="E829" s="2">
        <v>9348</v>
      </c>
      <c r="F829" s="2">
        <v>6.6999998090000004</v>
      </c>
      <c r="G829" s="2">
        <v>6.6999998090000004</v>
      </c>
      <c r="H829" s="2">
        <v>0</v>
      </c>
      <c r="I829" s="2">
        <v>1.1299999949999999</v>
      </c>
      <c r="J829" s="2">
        <v>2.039999962</v>
      </c>
      <c r="K829" s="2">
        <v>3.1400001049999999</v>
      </c>
      <c r="L829" s="2">
        <v>0</v>
      </c>
      <c r="M829" s="2">
        <v>56</v>
      </c>
      <c r="N829" s="2">
        <v>133</v>
      </c>
      <c r="O829" s="2">
        <v>240</v>
      </c>
      <c r="P829" s="2">
        <v>1011</v>
      </c>
      <c r="Q829" s="2">
        <f t="shared" si="67"/>
        <v>429</v>
      </c>
      <c r="R829" s="2">
        <f t="shared" si="65"/>
        <v>1440</v>
      </c>
      <c r="S829" t="str">
        <f t="shared" si="64"/>
        <v>Fairly Active</v>
      </c>
      <c r="T829" s="2">
        <v>4286</v>
      </c>
    </row>
    <row r="830" spans="1:20" x14ac:dyDescent="0.25">
      <c r="A830" s="2">
        <v>6775888955</v>
      </c>
      <c r="B830" s="3">
        <v>42466</v>
      </c>
      <c r="C830" t="str">
        <f t="shared" si="66"/>
        <v>Wednesday</v>
      </c>
      <c r="D830" t="str">
        <f t="shared" si="63"/>
        <v>Weekday</v>
      </c>
      <c r="E830" s="2">
        <v>11761</v>
      </c>
      <c r="F830" s="2">
        <v>8.4300003050000001</v>
      </c>
      <c r="G830" s="2">
        <v>8.4300003050000001</v>
      </c>
      <c r="H830" s="2">
        <v>0</v>
      </c>
      <c r="I830" s="2">
        <v>1.309999943</v>
      </c>
      <c r="J830" s="2">
        <v>2.4400000569999998</v>
      </c>
      <c r="K830" s="2">
        <v>4.6799998279999997</v>
      </c>
      <c r="L830" s="2">
        <v>0</v>
      </c>
      <c r="M830" s="2">
        <v>24</v>
      </c>
      <c r="N830" s="2">
        <v>99</v>
      </c>
      <c r="O830" s="2">
        <v>300</v>
      </c>
      <c r="P830" s="2">
        <v>550</v>
      </c>
      <c r="Q830" s="2">
        <f t="shared" si="67"/>
        <v>423</v>
      </c>
      <c r="R830" s="2">
        <f t="shared" si="65"/>
        <v>973</v>
      </c>
      <c r="S830" t="str">
        <f t="shared" si="64"/>
        <v>Highly Active</v>
      </c>
      <c r="T830" s="2">
        <v>3920</v>
      </c>
    </row>
    <row r="831" spans="1:20" x14ac:dyDescent="0.25">
      <c r="A831" s="2">
        <v>6775888955</v>
      </c>
      <c r="B831" s="3">
        <v>42467</v>
      </c>
      <c r="C831" t="str">
        <f t="shared" si="66"/>
        <v>Thursday</v>
      </c>
      <c r="D831" t="str">
        <f t="shared" si="63"/>
        <v>Weekday</v>
      </c>
      <c r="E831" s="2">
        <v>13987</v>
      </c>
      <c r="F831" s="2">
        <v>10.02999973</v>
      </c>
      <c r="G831" s="2">
        <v>10.02999973</v>
      </c>
      <c r="H831" s="2">
        <v>0</v>
      </c>
      <c r="I831" s="2">
        <v>2.869999886</v>
      </c>
      <c r="J831" s="2">
        <v>3.3399999139999998</v>
      </c>
      <c r="K831" s="2">
        <v>3.8199999330000001</v>
      </c>
      <c r="L831" s="2">
        <v>0</v>
      </c>
      <c r="M831" s="2">
        <v>46</v>
      </c>
      <c r="N831" s="2">
        <v>114</v>
      </c>
      <c r="O831" s="2">
        <v>250</v>
      </c>
      <c r="P831" s="2">
        <v>739</v>
      </c>
      <c r="Q831" s="2">
        <f t="shared" si="67"/>
        <v>410</v>
      </c>
      <c r="R831" s="2">
        <f t="shared" si="65"/>
        <v>1149</v>
      </c>
      <c r="S831" t="str">
        <f t="shared" si="64"/>
        <v>Highly Active</v>
      </c>
      <c r="T831" s="2">
        <v>3856</v>
      </c>
    </row>
    <row r="832" spans="1:20" x14ac:dyDescent="0.25">
      <c r="A832" s="2">
        <v>6775888955</v>
      </c>
      <c r="B832" s="3">
        <v>42468</v>
      </c>
      <c r="C832" t="str">
        <f t="shared" si="66"/>
        <v>Friday</v>
      </c>
      <c r="D832" t="str">
        <f t="shared" si="63"/>
        <v>Weekday</v>
      </c>
      <c r="E832" s="2">
        <v>4131</v>
      </c>
      <c r="F832" s="2">
        <v>2.960000038</v>
      </c>
      <c r="G832" s="2">
        <v>2.960000038</v>
      </c>
      <c r="H832" s="2">
        <v>0</v>
      </c>
      <c r="I832" s="2">
        <v>1.3700000050000001</v>
      </c>
      <c r="J832" s="2">
        <v>0.61000001400000003</v>
      </c>
      <c r="K832" s="2">
        <v>0.980000019</v>
      </c>
      <c r="L832" s="2">
        <v>0</v>
      </c>
      <c r="M832" s="2">
        <v>27</v>
      </c>
      <c r="N832" s="2">
        <v>30</v>
      </c>
      <c r="O832" s="2">
        <v>75</v>
      </c>
      <c r="P832" s="2">
        <v>1308</v>
      </c>
      <c r="Q832" s="2">
        <f t="shared" si="67"/>
        <v>132</v>
      </c>
      <c r="R832" s="2">
        <f t="shared" si="65"/>
        <v>1440</v>
      </c>
      <c r="S832" t="str">
        <f t="shared" si="64"/>
        <v>Sedentary</v>
      </c>
      <c r="T832" s="2">
        <v>2584</v>
      </c>
    </row>
    <row r="833" spans="1:20" x14ac:dyDescent="0.25">
      <c r="A833" s="2">
        <v>6775888955</v>
      </c>
      <c r="B833" s="3">
        <v>42473</v>
      </c>
      <c r="C833" t="str">
        <f t="shared" si="66"/>
        <v>Wednesday</v>
      </c>
      <c r="D833" t="str">
        <f t="shared" si="63"/>
        <v>Weekday</v>
      </c>
      <c r="E833" s="2">
        <v>4053</v>
      </c>
      <c r="F833" s="2">
        <v>2.9100000860000002</v>
      </c>
      <c r="G833" s="2">
        <v>2.9100000860000002</v>
      </c>
      <c r="H833" s="2">
        <v>0</v>
      </c>
      <c r="I833" s="2">
        <v>1.1100000139999999</v>
      </c>
      <c r="J833" s="2">
        <v>0.579999983</v>
      </c>
      <c r="K833" s="2">
        <v>1.2200000289999999</v>
      </c>
      <c r="L833" s="2">
        <v>0</v>
      </c>
      <c r="M833" s="2">
        <v>17</v>
      </c>
      <c r="N833" s="2">
        <v>18</v>
      </c>
      <c r="O833" s="2">
        <v>85</v>
      </c>
      <c r="P833" s="2">
        <v>1053</v>
      </c>
      <c r="Q833" s="2">
        <f t="shared" si="67"/>
        <v>120</v>
      </c>
      <c r="R833" s="2">
        <f t="shared" si="65"/>
        <v>1173</v>
      </c>
      <c r="S833" t="str">
        <f t="shared" si="64"/>
        <v>Sedentary</v>
      </c>
      <c r="T833" s="2">
        <v>2400</v>
      </c>
    </row>
    <row r="834" spans="1:20" x14ac:dyDescent="0.25">
      <c r="A834" s="2">
        <v>6775888955</v>
      </c>
      <c r="B834" s="3">
        <v>42474</v>
      </c>
      <c r="C834" t="str">
        <f t="shared" si="66"/>
        <v>Thursday</v>
      </c>
      <c r="D834" t="str">
        <f t="shared" si="63"/>
        <v>Weekday</v>
      </c>
      <c r="E834" s="2">
        <v>5162</v>
      </c>
      <c r="F834" s="2">
        <v>3.7000000480000002</v>
      </c>
      <c r="G834" s="2">
        <v>3.7000000480000002</v>
      </c>
      <c r="H834" s="2">
        <v>0</v>
      </c>
      <c r="I834" s="2">
        <v>0.87000000499999997</v>
      </c>
      <c r="J834" s="2">
        <v>0.86000001400000003</v>
      </c>
      <c r="K834" s="2">
        <v>1.9700000289999999</v>
      </c>
      <c r="L834" s="2">
        <v>0</v>
      </c>
      <c r="M834" s="2">
        <v>14</v>
      </c>
      <c r="N834" s="2">
        <v>24</v>
      </c>
      <c r="O834" s="2">
        <v>105</v>
      </c>
      <c r="P834" s="2">
        <v>863</v>
      </c>
      <c r="Q834" s="2">
        <f t="shared" si="67"/>
        <v>143</v>
      </c>
      <c r="R834" s="2">
        <f t="shared" si="65"/>
        <v>1006</v>
      </c>
      <c r="S834" t="str">
        <f t="shared" si="64"/>
        <v>Lightly Active</v>
      </c>
      <c r="T834" s="2">
        <v>2507</v>
      </c>
    </row>
    <row r="835" spans="1:20" x14ac:dyDescent="0.25">
      <c r="A835" s="2">
        <v>6775888955</v>
      </c>
      <c r="B835" s="3">
        <v>42475</v>
      </c>
      <c r="C835" t="str">
        <f t="shared" si="66"/>
        <v>Friday</v>
      </c>
      <c r="D835" t="str">
        <f t="shared" ref="D835:D898" si="68">IF(OR(C835="Saturday", C835="Sunday"), "Weekend", "Weekday")</f>
        <v>Weekday</v>
      </c>
      <c r="E835" s="2">
        <v>1282</v>
      </c>
      <c r="F835" s="2">
        <v>0.920000017</v>
      </c>
      <c r="G835" s="2">
        <v>0.920000017</v>
      </c>
      <c r="H835" s="2">
        <v>0</v>
      </c>
      <c r="I835" s="2">
        <v>0</v>
      </c>
      <c r="J835" s="2">
        <v>0</v>
      </c>
      <c r="K835" s="2">
        <v>0.920000017</v>
      </c>
      <c r="L835" s="2">
        <v>0</v>
      </c>
      <c r="M835" s="2">
        <v>0</v>
      </c>
      <c r="N835" s="2">
        <v>0</v>
      </c>
      <c r="O835" s="2">
        <v>58</v>
      </c>
      <c r="P835" s="2">
        <v>976</v>
      </c>
      <c r="Q835" s="2">
        <f t="shared" si="67"/>
        <v>58</v>
      </c>
      <c r="R835" s="2">
        <f t="shared" si="65"/>
        <v>1034</v>
      </c>
      <c r="S835" t="str">
        <f t="shared" ref="S835:S898" si="69">IF(E835&lt;5000, "Sedentary", IF(E835&lt;7500, "Lightly Active", IF(E835&lt;10000, "Fairly Active", "Highly Active")))</f>
        <v>Sedentary</v>
      </c>
      <c r="T835" s="2">
        <v>2127</v>
      </c>
    </row>
    <row r="836" spans="1:20" x14ac:dyDescent="0.25">
      <c r="A836" s="2">
        <v>6775888955</v>
      </c>
      <c r="B836" s="3">
        <v>42476</v>
      </c>
      <c r="C836" t="str">
        <f t="shared" si="66"/>
        <v>Saturday</v>
      </c>
      <c r="D836" t="str">
        <f t="shared" si="68"/>
        <v>Weekend</v>
      </c>
      <c r="E836" s="2">
        <v>4732</v>
      </c>
      <c r="F836" s="2">
        <v>3.3900001049999999</v>
      </c>
      <c r="G836" s="2">
        <v>3.3900001049999999</v>
      </c>
      <c r="H836" s="2">
        <v>0</v>
      </c>
      <c r="I836" s="2">
        <v>2.5199999809999998</v>
      </c>
      <c r="J836" s="2">
        <v>0.810000002</v>
      </c>
      <c r="K836" s="2">
        <v>5.9999998999999998E-2</v>
      </c>
      <c r="L836" s="2">
        <v>0</v>
      </c>
      <c r="M836" s="2">
        <v>36</v>
      </c>
      <c r="N836" s="2">
        <v>18</v>
      </c>
      <c r="O836" s="2">
        <v>9</v>
      </c>
      <c r="P836" s="2">
        <v>1377</v>
      </c>
      <c r="Q836" s="2">
        <f t="shared" si="67"/>
        <v>63</v>
      </c>
      <c r="R836" s="2">
        <f t="shared" si="65"/>
        <v>1440</v>
      </c>
      <c r="S836" t="str">
        <f t="shared" si="69"/>
        <v>Sedentary</v>
      </c>
      <c r="T836" s="2">
        <v>2225</v>
      </c>
    </row>
    <row r="837" spans="1:20" x14ac:dyDescent="0.25">
      <c r="A837" s="2">
        <v>6775888955</v>
      </c>
      <c r="B837" s="3">
        <v>42477</v>
      </c>
      <c r="C837" t="str">
        <f t="shared" si="66"/>
        <v>Sunday</v>
      </c>
      <c r="D837" t="str">
        <f t="shared" si="68"/>
        <v>Weekend</v>
      </c>
      <c r="E837" s="2">
        <v>2497</v>
      </c>
      <c r="F837" s="2">
        <v>1.789999962</v>
      </c>
      <c r="G837" s="2">
        <v>1.789999962</v>
      </c>
      <c r="H837" s="2">
        <v>0</v>
      </c>
      <c r="I837" s="2">
        <v>0.34999999399999998</v>
      </c>
      <c r="J837" s="2">
        <v>1.1299999949999999</v>
      </c>
      <c r="K837" s="2">
        <v>0.310000002</v>
      </c>
      <c r="L837" s="2">
        <v>0</v>
      </c>
      <c r="M837" s="2">
        <v>5</v>
      </c>
      <c r="N837" s="2">
        <v>24</v>
      </c>
      <c r="O837" s="2">
        <v>19</v>
      </c>
      <c r="P837" s="2">
        <v>1392</v>
      </c>
      <c r="Q837" s="2">
        <f t="shared" si="67"/>
        <v>48</v>
      </c>
      <c r="R837" s="2">
        <f t="shared" si="65"/>
        <v>1440</v>
      </c>
      <c r="S837" t="str">
        <f t="shared" si="69"/>
        <v>Sedentary</v>
      </c>
      <c r="T837" s="2">
        <v>2067</v>
      </c>
    </row>
    <row r="838" spans="1:20" x14ac:dyDescent="0.25">
      <c r="A838" s="2">
        <v>6775888955</v>
      </c>
      <c r="B838" s="3">
        <v>42478</v>
      </c>
      <c r="C838" t="str">
        <f t="shared" si="66"/>
        <v>Monday</v>
      </c>
      <c r="D838" t="str">
        <f t="shared" si="68"/>
        <v>Weekday</v>
      </c>
      <c r="E838" s="2">
        <v>8294</v>
      </c>
      <c r="F838" s="2">
        <v>5.9499998090000004</v>
      </c>
      <c r="G838" s="2">
        <v>5.9499998090000004</v>
      </c>
      <c r="H838" s="2">
        <v>0</v>
      </c>
      <c r="I838" s="2">
        <v>2</v>
      </c>
      <c r="J838" s="2">
        <v>0.769999981</v>
      </c>
      <c r="K838" s="2">
        <v>3.170000076</v>
      </c>
      <c r="L838" s="2">
        <v>0</v>
      </c>
      <c r="M838" s="2">
        <v>30</v>
      </c>
      <c r="N838" s="2">
        <v>31</v>
      </c>
      <c r="O838" s="2">
        <v>146</v>
      </c>
      <c r="P838" s="2">
        <v>1233</v>
      </c>
      <c r="Q838" s="2">
        <f t="shared" si="67"/>
        <v>207</v>
      </c>
      <c r="R838" s="2">
        <f t="shared" si="65"/>
        <v>1440</v>
      </c>
      <c r="S838" t="str">
        <f t="shared" si="69"/>
        <v>Fairly Active</v>
      </c>
      <c r="T838" s="2">
        <v>2798</v>
      </c>
    </row>
    <row r="839" spans="1:20" x14ac:dyDescent="0.25">
      <c r="A839" s="2">
        <v>6775888955</v>
      </c>
      <c r="B839" s="3">
        <v>42480</v>
      </c>
      <c r="C839" t="str">
        <f t="shared" si="66"/>
        <v>Wednesday</v>
      </c>
      <c r="D839" t="str">
        <f t="shared" si="68"/>
        <v>Weekday</v>
      </c>
      <c r="E839" s="2">
        <v>10771</v>
      </c>
      <c r="F839" s="2">
        <v>7.7199997900000001</v>
      </c>
      <c r="G839" s="2">
        <v>7.7199997900000001</v>
      </c>
      <c r="H839" s="2">
        <v>0</v>
      </c>
      <c r="I839" s="2">
        <v>3.7699999809999998</v>
      </c>
      <c r="J839" s="2">
        <v>1.7400000099999999</v>
      </c>
      <c r="K839" s="2">
        <v>2.2200000289999999</v>
      </c>
      <c r="L839" s="2">
        <v>0</v>
      </c>
      <c r="M839" s="2">
        <v>70</v>
      </c>
      <c r="N839" s="2">
        <v>113</v>
      </c>
      <c r="O839" s="2">
        <v>178</v>
      </c>
      <c r="P839" s="2">
        <v>1079</v>
      </c>
      <c r="Q839" s="2">
        <f t="shared" si="67"/>
        <v>361</v>
      </c>
      <c r="R839" s="2">
        <f t="shared" si="65"/>
        <v>1440</v>
      </c>
      <c r="S839" t="str">
        <f t="shared" si="69"/>
        <v>Highly Active</v>
      </c>
      <c r="T839" s="2">
        <v>3727</v>
      </c>
    </row>
    <row r="840" spans="1:20" x14ac:dyDescent="0.25">
      <c r="A840" s="2">
        <v>6775888955</v>
      </c>
      <c r="B840" s="3">
        <v>42482</v>
      </c>
      <c r="C840" t="str">
        <f t="shared" si="66"/>
        <v>Friday</v>
      </c>
      <c r="D840" t="str">
        <f t="shared" si="68"/>
        <v>Weekday</v>
      </c>
      <c r="E840" s="2">
        <v>637</v>
      </c>
      <c r="F840" s="2">
        <v>0.46000000800000002</v>
      </c>
      <c r="G840" s="2">
        <v>0.46000000800000002</v>
      </c>
      <c r="H840" s="2">
        <v>0</v>
      </c>
      <c r="I840" s="2">
        <v>0</v>
      </c>
      <c r="J840" s="2">
        <v>0</v>
      </c>
      <c r="K840" s="2">
        <v>0.46000000800000002</v>
      </c>
      <c r="L840" s="2">
        <v>0</v>
      </c>
      <c r="M840" s="2">
        <v>0</v>
      </c>
      <c r="N840" s="2">
        <v>0</v>
      </c>
      <c r="O840" s="2">
        <v>20</v>
      </c>
      <c r="P840" s="2">
        <v>1420</v>
      </c>
      <c r="Q840" s="2">
        <f t="shared" si="67"/>
        <v>20</v>
      </c>
      <c r="R840" s="2">
        <f t="shared" si="65"/>
        <v>1440</v>
      </c>
      <c r="S840" t="str">
        <f t="shared" si="69"/>
        <v>Sedentary</v>
      </c>
      <c r="T840" s="2">
        <v>1922</v>
      </c>
    </row>
    <row r="841" spans="1:20" x14ac:dyDescent="0.25">
      <c r="A841" s="2">
        <v>6775888955</v>
      </c>
      <c r="B841" s="3">
        <v>42484</v>
      </c>
      <c r="C841" t="str">
        <f t="shared" si="66"/>
        <v>Sunday</v>
      </c>
      <c r="D841" t="str">
        <f t="shared" si="68"/>
        <v>Weekend</v>
      </c>
      <c r="E841" s="2">
        <v>2153</v>
      </c>
      <c r="F841" s="2">
        <v>1.539999962</v>
      </c>
      <c r="G841" s="2">
        <v>1.539999962</v>
      </c>
      <c r="H841" s="2">
        <v>0</v>
      </c>
      <c r="I841" s="2">
        <v>0.769999981</v>
      </c>
      <c r="J841" s="2">
        <v>0.62000000499999997</v>
      </c>
      <c r="K841" s="2">
        <v>0.15000000599999999</v>
      </c>
      <c r="L841" s="2">
        <v>0</v>
      </c>
      <c r="M841" s="2">
        <v>11</v>
      </c>
      <c r="N841" s="2">
        <v>18</v>
      </c>
      <c r="O841" s="2">
        <v>11</v>
      </c>
      <c r="P841" s="2">
        <v>1400</v>
      </c>
      <c r="Q841" s="2">
        <f t="shared" si="67"/>
        <v>40</v>
      </c>
      <c r="R841" s="2">
        <f t="shared" si="65"/>
        <v>1440</v>
      </c>
      <c r="S841" t="str">
        <f t="shared" si="69"/>
        <v>Sedentary</v>
      </c>
      <c r="T841" s="2">
        <v>2053</v>
      </c>
    </row>
    <row r="842" spans="1:20" x14ac:dyDescent="0.25">
      <c r="A842" s="2">
        <v>6775888955</v>
      </c>
      <c r="B842" s="3">
        <v>42485</v>
      </c>
      <c r="C842" t="str">
        <f t="shared" si="66"/>
        <v>Monday</v>
      </c>
      <c r="D842" t="str">
        <f t="shared" si="68"/>
        <v>Weekday</v>
      </c>
      <c r="E842" s="2">
        <v>6474</v>
      </c>
      <c r="F842" s="2">
        <v>4.6399998660000001</v>
      </c>
      <c r="G842" s="2">
        <v>4.6399998660000001</v>
      </c>
      <c r="H842" s="2">
        <v>0</v>
      </c>
      <c r="I842" s="2">
        <v>2.2699999809999998</v>
      </c>
      <c r="J842" s="2">
        <v>0.46000000800000002</v>
      </c>
      <c r="K842" s="2">
        <v>1.8999999759999999</v>
      </c>
      <c r="L842" s="2">
        <v>0</v>
      </c>
      <c r="M842" s="2">
        <v>33</v>
      </c>
      <c r="N842" s="2">
        <v>13</v>
      </c>
      <c r="O842" s="2">
        <v>92</v>
      </c>
      <c r="P842" s="2">
        <v>1302</v>
      </c>
      <c r="Q842" s="2">
        <f t="shared" si="67"/>
        <v>138</v>
      </c>
      <c r="R842" s="2">
        <f t="shared" si="65"/>
        <v>1440</v>
      </c>
      <c r="S842" t="str">
        <f t="shared" si="69"/>
        <v>Lightly Active</v>
      </c>
      <c r="T842" s="2">
        <v>2484</v>
      </c>
    </row>
    <row r="843" spans="1:20" x14ac:dyDescent="0.25">
      <c r="A843" s="2">
        <v>6775888955</v>
      </c>
      <c r="B843" s="3">
        <v>42486</v>
      </c>
      <c r="C843" t="str">
        <f t="shared" si="66"/>
        <v>Tuesday</v>
      </c>
      <c r="D843" t="str">
        <f t="shared" si="68"/>
        <v>Weekday</v>
      </c>
      <c r="E843" s="2">
        <v>7091</v>
      </c>
      <c r="F843" s="2">
        <v>5.2699999809999998</v>
      </c>
      <c r="G843" s="2">
        <v>5.2699999809999998</v>
      </c>
      <c r="H843" s="2">
        <v>1.9595960379999999</v>
      </c>
      <c r="I843" s="2">
        <v>3.4800000190000002</v>
      </c>
      <c r="J843" s="2">
        <v>0.87000000499999997</v>
      </c>
      <c r="K843" s="2">
        <v>0.730000019</v>
      </c>
      <c r="L843" s="2">
        <v>0</v>
      </c>
      <c r="M843" s="2">
        <v>42</v>
      </c>
      <c r="N843" s="2">
        <v>30</v>
      </c>
      <c r="O843" s="2">
        <v>47</v>
      </c>
      <c r="P843" s="2">
        <v>1321</v>
      </c>
      <c r="Q843" s="2">
        <f t="shared" si="67"/>
        <v>119</v>
      </c>
      <c r="R843" s="2">
        <f t="shared" si="65"/>
        <v>1440</v>
      </c>
      <c r="S843" t="str">
        <f t="shared" si="69"/>
        <v>Lightly Active</v>
      </c>
      <c r="T843" s="2">
        <v>2584</v>
      </c>
    </row>
    <row r="844" spans="1:20" x14ac:dyDescent="0.25">
      <c r="A844" s="2">
        <v>6775888955</v>
      </c>
      <c r="B844" s="3">
        <v>42488</v>
      </c>
      <c r="C844" t="str">
        <f t="shared" si="66"/>
        <v>Thursday</v>
      </c>
      <c r="D844" t="str">
        <f t="shared" si="68"/>
        <v>Weekday</v>
      </c>
      <c r="E844" s="2">
        <v>703</v>
      </c>
      <c r="F844" s="2">
        <v>0.5</v>
      </c>
      <c r="G844" s="2">
        <v>0.5</v>
      </c>
      <c r="H844" s="2">
        <v>0</v>
      </c>
      <c r="I844" s="2">
        <v>5.9999998999999998E-2</v>
      </c>
      <c r="J844" s="2">
        <v>0.20000000300000001</v>
      </c>
      <c r="K844" s="2">
        <v>0.23999999499999999</v>
      </c>
      <c r="L844" s="2">
        <v>0</v>
      </c>
      <c r="M844" s="2">
        <v>2</v>
      </c>
      <c r="N844" s="2">
        <v>13</v>
      </c>
      <c r="O844" s="2">
        <v>15</v>
      </c>
      <c r="P844" s="2">
        <v>1410</v>
      </c>
      <c r="Q844" s="2">
        <f t="shared" si="67"/>
        <v>30</v>
      </c>
      <c r="R844" s="2">
        <f t="shared" si="65"/>
        <v>1440</v>
      </c>
      <c r="S844" t="str">
        <f t="shared" si="69"/>
        <v>Sedentary</v>
      </c>
      <c r="T844" s="2">
        <v>1993</v>
      </c>
    </row>
    <row r="845" spans="1:20" x14ac:dyDescent="0.25">
      <c r="A845" s="2">
        <v>6775888955</v>
      </c>
      <c r="B845" s="3">
        <v>42490</v>
      </c>
      <c r="C845" t="str">
        <f t="shared" si="66"/>
        <v>Saturday</v>
      </c>
      <c r="D845" t="str">
        <f t="shared" si="68"/>
        <v>Weekend</v>
      </c>
      <c r="E845" s="2">
        <v>2503</v>
      </c>
      <c r="F845" s="2">
        <v>1.789999962</v>
      </c>
      <c r="G845" s="2">
        <v>1.789999962</v>
      </c>
      <c r="H845" s="2">
        <v>0</v>
      </c>
      <c r="I845" s="2">
        <v>0.15999999600000001</v>
      </c>
      <c r="J845" s="2">
        <v>0.15999999600000001</v>
      </c>
      <c r="K845" s="2">
        <v>1.480000019</v>
      </c>
      <c r="L845" s="2">
        <v>0</v>
      </c>
      <c r="M845" s="2">
        <v>3</v>
      </c>
      <c r="N845" s="2">
        <v>9</v>
      </c>
      <c r="O845" s="2">
        <v>84</v>
      </c>
      <c r="P845" s="2">
        <v>1344</v>
      </c>
      <c r="Q845" s="2">
        <f t="shared" si="67"/>
        <v>96</v>
      </c>
      <c r="R845" s="2">
        <f t="shared" si="65"/>
        <v>1440</v>
      </c>
      <c r="S845" t="str">
        <f t="shared" si="69"/>
        <v>Sedentary</v>
      </c>
      <c r="T845" s="2">
        <v>2280</v>
      </c>
    </row>
    <row r="846" spans="1:20" x14ac:dyDescent="0.25">
      <c r="A846" s="2">
        <v>6775888955</v>
      </c>
      <c r="B846" s="3">
        <v>42491</v>
      </c>
      <c r="C846" t="str">
        <f t="shared" si="66"/>
        <v>Sunday</v>
      </c>
      <c r="D846" t="str">
        <f t="shared" si="68"/>
        <v>Weekend</v>
      </c>
      <c r="E846" s="2">
        <v>2487</v>
      </c>
      <c r="F846" s="2">
        <v>1.7799999710000001</v>
      </c>
      <c r="G846" s="2">
        <v>1.7799999710000001</v>
      </c>
      <c r="H846" s="2">
        <v>0</v>
      </c>
      <c r="I846" s="2">
        <v>0.47999998900000002</v>
      </c>
      <c r="J846" s="2">
        <v>0.62000000499999997</v>
      </c>
      <c r="K846" s="2">
        <v>0.68000000699999996</v>
      </c>
      <c r="L846" s="2">
        <v>0</v>
      </c>
      <c r="M846" s="2">
        <v>9</v>
      </c>
      <c r="N846" s="2">
        <v>34</v>
      </c>
      <c r="O846" s="2">
        <v>50</v>
      </c>
      <c r="P846" s="2">
        <v>1347</v>
      </c>
      <c r="Q846" s="2">
        <f t="shared" si="67"/>
        <v>93</v>
      </c>
      <c r="R846" s="2">
        <f t="shared" si="65"/>
        <v>1440</v>
      </c>
      <c r="S846" t="str">
        <f t="shared" si="69"/>
        <v>Sedentary</v>
      </c>
      <c r="T846" s="2">
        <v>2319</v>
      </c>
    </row>
    <row r="847" spans="1:20" x14ac:dyDescent="0.25">
      <c r="A847" s="2">
        <v>6775888955</v>
      </c>
      <c r="B847" s="3">
        <v>42496</v>
      </c>
      <c r="C847" t="str">
        <f t="shared" si="66"/>
        <v>Friday</v>
      </c>
      <c r="D847" t="str">
        <f t="shared" si="68"/>
        <v>Weekday</v>
      </c>
      <c r="E847" s="2">
        <v>4697</v>
      </c>
      <c r="F847" s="2">
        <v>3.369999886</v>
      </c>
      <c r="G847" s="2">
        <v>3.369999886</v>
      </c>
      <c r="H847" s="2">
        <v>0</v>
      </c>
      <c r="I847" s="2">
        <v>0.469999999</v>
      </c>
      <c r="J847" s="2">
        <v>0.93000000699999996</v>
      </c>
      <c r="K847" s="2">
        <v>1.9299999480000001</v>
      </c>
      <c r="L847" s="2">
        <v>0</v>
      </c>
      <c r="M847" s="2">
        <v>12</v>
      </c>
      <c r="N847" s="2">
        <v>35</v>
      </c>
      <c r="O847" s="2">
        <v>75</v>
      </c>
      <c r="P847" s="2">
        <v>1318</v>
      </c>
      <c r="Q847" s="2">
        <f t="shared" si="67"/>
        <v>122</v>
      </c>
      <c r="R847" s="2">
        <f t="shared" si="65"/>
        <v>1440</v>
      </c>
      <c r="S847" t="str">
        <f t="shared" si="69"/>
        <v>Sedentary</v>
      </c>
      <c r="T847" s="2">
        <v>2496</v>
      </c>
    </row>
    <row r="848" spans="1:20" x14ac:dyDescent="0.25">
      <c r="A848" s="2">
        <v>6775888955</v>
      </c>
      <c r="B848" s="3">
        <v>42497</v>
      </c>
      <c r="C848" t="str">
        <f t="shared" si="66"/>
        <v>Saturday</v>
      </c>
      <c r="D848" t="str">
        <f t="shared" si="68"/>
        <v>Weekend</v>
      </c>
      <c r="E848" s="2">
        <v>1967</v>
      </c>
      <c r="F848" s="2">
        <v>1.4099999670000001</v>
      </c>
      <c r="G848" s="2">
        <v>1.4099999670000001</v>
      </c>
      <c r="H848" s="2">
        <v>0</v>
      </c>
      <c r="I848" s="2">
        <v>0.12999999500000001</v>
      </c>
      <c r="J848" s="2">
        <v>0.23999999499999999</v>
      </c>
      <c r="K848" s="2">
        <v>1.0499999520000001</v>
      </c>
      <c r="L848" s="2">
        <v>0</v>
      </c>
      <c r="M848" s="2">
        <v>2</v>
      </c>
      <c r="N848" s="2">
        <v>5</v>
      </c>
      <c r="O848" s="2">
        <v>49</v>
      </c>
      <c r="P848" s="2">
        <v>551</v>
      </c>
      <c r="Q848" s="2">
        <f t="shared" si="67"/>
        <v>56</v>
      </c>
      <c r="R848" s="2">
        <f t="shared" si="65"/>
        <v>607</v>
      </c>
      <c r="S848" t="str">
        <f t="shared" si="69"/>
        <v>Sedentary</v>
      </c>
      <c r="T848" s="2">
        <v>1032</v>
      </c>
    </row>
    <row r="849" spans="1:20" x14ac:dyDescent="0.25">
      <c r="A849" s="2">
        <v>6962181067</v>
      </c>
      <c r="B849" s="3">
        <v>42459</v>
      </c>
      <c r="C849" t="str">
        <f t="shared" si="66"/>
        <v>Wednesday</v>
      </c>
      <c r="D849" t="str">
        <f t="shared" si="68"/>
        <v>Weekday</v>
      </c>
      <c r="E849" s="2">
        <v>15491</v>
      </c>
      <c r="F849" s="2">
        <v>10.239999770000001</v>
      </c>
      <c r="G849" s="2">
        <v>10.239999770000001</v>
      </c>
      <c r="H849" s="2">
        <v>0</v>
      </c>
      <c r="I849" s="2">
        <v>1.289999962</v>
      </c>
      <c r="J849" s="2">
        <v>4.4899997709999999</v>
      </c>
      <c r="K849" s="2">
        <v>4.4600000380000004</v>
      </c>
      <c r="L849" s="2">
        <v>0</v>
      </c>
      <c r="M849" s="2">
        <v>18</v>
      </c>
      <c r="N849" s="2">
        <v>77</v>
      </c>
      <c r="O849" s="2">
        <v>272</v>
      </c>
      <c r="P849" s="2">
        <v>641</v>
      </c>
      <c r="Q849" s="2">
        <f t="shared" si="67"/>
        <v>367</v>
      </c>
      <c r="R849" s="2">
        <f t="shared" si="65"/>
        <v>1008</v>
      </c>
      <c r="S849" t="str">
        <f t="shared" si="69"/>
        <v>Highly Active</v>
      </c>
      <c r="T849" s="2">
        <v>2244</v>
      </c>
    </row>
    <row r="850" spans="1:20" x14ac:dyDescent="0.25">
      <c r="A850" s="2">
        <v>6962181067</v>
      </c>
      <c r="B850" s="3">
        <v>42460</v>
      </c>
      <c r="C850" t="str">
        <f t="shared" si="66"/>
        <v>Thursday</v>
      </c>
      <c r="D850" t="str">
        <f t="shared" si="68"/>
        <v>Weekday</v>
      </c>
      <c r="E850" s="2">
        <v>14097</v>
      </c>
      <c r="F850" s="2">
        <v>9.3199996949999999</v>
      </c>
      <c r="G850" s="2">
        <v>9.3199996949999999</v>
      </c>
      <c r="H850" s="2">
        <v>0</v>
      </c>
      <c r="I850" s="2">
        <v>3.5</v>
      </c>
      <c r="J850" s="2">
        <v>1.9199999569999999</v>
      </c>
      <c r="K850" s="2">
        <v>3.9000000950000002</v>
      </c>
      <c r="L850" s="2">
        <v>0</v>
      </c>
      <c r="M850" s="2">
        <v>50</v>
      </c>
      <c r="N850" s="2">
        <v>32</v>
      </c>
      <c r="O850" s="2">
        <v>234</v>
      </c>
      <c r="P850" s="2">
        <v>595</v>
      </c>
      <c r="Q850" s="2">
        <f t="shared" si="67"/>
        <v>316</v>
      </c>
      <c r="R850" s="2">
        <f t="shared" si="65"/>
        <v>911</v>
      </c>
      <c r="S850" t="str">
        <f t="shared" si="69"/>
        <v>Highly Active</v>
      </c>
      <c r="T850" s="2">
        <v>2188</v>
      </c>
    </row>
    <row r="851" spans="1:20" x14ac:dyDescent="0.25">
      <c r="A851" s="2">
        <v>6962181067</v>
      </c>
      <c r="B851" s="3">
        <v>42461</v>
      </c>
      <c r="C851" t="str">
        <f t="shared" si="66"/>
        <v>Friday</v>
      </c>
      <c r="D851" t="str">
        <f t="shared" si="68"/>
        <v>Weekday</v>
      </c>
      <c r="E851" s="2">
        <v>10467</v>
      </c>
      <c r="F851" s="2">
        <v>6.9800000190000002</v>
      </c>
      <c r="G851" s="2">
        <v>6.9800000190000002</v>
      </c>
      <c r="H851" s="2">
        <v>0</v>
      </c>
      <c r="I851" s="2">
        <v>0.69999998799999996</v>
      </c>
      <c r="J851" s="2">
        <v>2.4300000669999999</v>
      </c>
      <c r="K851" s="2">
        <v>3.8499999049999998</v>
      </c>
      <c r="L851" s="2">
        <v>0</v>
      </c>
      <c r="M851" s="2">
        <v>9</v>
      </c>
      <c r="N851" s="2">
        <v>45</v>
      </c>
      <c r="O851" s="2">
        <v>252</v>
      </c>
      <c r="P851" s="2">
        <v>602</v>
      </c>
      <c r="Q851" s="2">
        <f t="shared" si="67"/>
        <v>306</v>
      </c>
      <c r="R851" s="2">
        <f t="shared" si="65"/>
        <v>908</v>
      </c>
      <c r="S851" t="str">
        <f t="shared" si="69"/>
        <v>Highly Active</v>
      </c>
      <c r="T851" s="2">
        <v>2014</v>
      </c>
    </row>
    <row r="852" spans="1:20" x14ac:dyDescent="0.25">
      <c r="A852" s="2">
        <v>6962181067</v>
      </c>
      <c r="B852" s="3">
        <v>42462</v>
      </c>
      <c r="C852" t="str">
        <f t="shared" si="66"/>
        <v>Saturday</v>
      </c>
      <c r="D852" t="str">
        <f t="shared" si="68"/>
        <v>Weekend</v>
      </c>
      <c r="E852" s="2">
        <v>12437</v>
      </c>
      <c r="F852" s="2">
        <v>8.3000001910000005</v>
      </c>
      <c r="G852" s="2">
        <v>8.3000001910000005</v>
      </c>
      <c r="H852" s="2">
        <v>0</v>
      </c>
      <c r="I852" s="2">
        <v>3.7599999899999998</v>
      </c>
      <c r="J852" s="2">
        <v>1.289999962</v>
      </c>
      <c r="K852" s="2">
        <v>3.2400000100000002</v>
      </c>
      <c r="L852" s="2">
        <v>0</v>
      </c>
      <c r="M852" s="2">
        <v>50</v>
      </c>
      <c r="N852" s="2">
        <v>24</v>
      </c>
      <c r="O852" s="2">
        <v>219</v>
      </c>
      <c r="P852" s="2">
        <v>732</v>
      </c>
      <c r="Q852" s="2">
        <f t="shared" si="67"/>
        <v>293</v>
      </c>
      <c r="R852" s="2">
        <f t="shared" si="65"/>
        <v>1025</v>
      </c>
      <c r="S852" t="str">
        <f t="shared" si="69"/>
        <v>Highly Active</v>
      </c>
      <c r="T852" s="2">
        <v>2115</v>
      </c>
    </row>
    <row r="853" spans="1:20" x14ac:dyDescent="0.25">
      <c r="A853" s="2">
        <v>6962181067</v>
      </c>
      <c r="B853" s="3">
        <v>42463</v>
      </c>
      <c r="C853" t="str">
        <f t="shared" si="66"/>
        <v>Sunday</v>
      </c>
      <c r="D853" t="str">
        <f t="shared" si="68"/>
        <v>Weekend</v>
      </c>
      <c r="E853" s="2">
        <v>12307</v>
      </c>
      <c r="F853" s="2">
        <v>8.1400003430000005</v>
      </c>
      <c r="G853" s="2">
        <v>8.1400003430000005</v>
      </c>
      <c r="H853" s="2">
        <v>0</v>
      </c>
      <c r="I853" s="2">
        <v>1.0099999900000001</v>
      </c>
      <c r="J853" s="2">
        <v>3.2599999899999998</v>
      </c>
      <c r="K853" s="2">
        <v>3.869999886</v>
      </c>
      <c r="L853" s="2">
        <v>0</v>
      </c>
      <c r="M853" s="2">
        <v>14</v>
      </c>
      <c r="N853" s="2">
        <v>51</v>
      </c>
      <c r="O853" s="2">
        <v>218</v>
      </c>
      <c r="P853" s="2">
        <v>589</v>
      </c>
      <c r="Q853" s="2">
        <f t="shared" si="67"/>
        <v>283</v>
      </c>
      <c r="R853" s="2">
        <f t="shared" si="65"/>
        <v>872</v>
      </c>
      <c r="S853" t="str">
        <f t="shared" si="69"/>
        <v>Highly Active</v>
      </c>
      <c r="T853" s="2">
        <v>2055</v>
      </c>
    </row>
    <row r="854" spans="1:20" x14ac:dyDescent="0.25">
      <c r="A854" s="2">
        <v>6962181067</v>
      </c>
      <c r="B854" s="3">
        <v>42464</v>
      </c>
      <c r="C854" t="str">
        <f t="shared" si="66"/>
        <v>Monday</v>
      </c>
      <c r="D854" t="str">
        <f t="shared" si="68"/>
        <v>Weekday</v>
      </c>
      <c r="E854" s="2">
        <v>18952</v>
      </c>
      <c r="F854" s="2">
        <v>12.80000019</v>
      </c>
      <c r="G854" s="2">
        <v>12.80000019</v>
      </c>
      <c r="H854" s="2">
        <v>0</v>
      </c>
      <c r="I854" s="2">
        <v>5.9099998469999999</v>
      </c>
      <c r="J854" s="2">
        <v>1.230000019</v>
      </c>
      <c r="K854" s="2">
        <v>5.6599998469999999</v>
      </c>
      <c r="L854" s="2">
        <v>0</v>
      </c>
      <c r="M854" s="2">
        <v>73</v>
      </c>
      <c r="N854" s="2">
        <v>20</v>
      </c>
      <c r="O854" s="2">
        <v>327</v>
      </c>
      <c r="P854" s="2">
        <v>570</v>
      </c>
      <c r="Q854" s="2">
        <f t="shared" si="67"/>
        <v>420</v>
      </c>
      <c r="R854" s="2">
        <f t="shared" si="65"/>
        <v>990</v>
      </c>
      <c r="S854" t="str">
        <f t="shared" si="69"/>
        <v>Highly Active</v>
      </c>
      <c r="T854" s="2">
        <v>2437</v>
      </c>
    </row>
    <row r="855" spans="1:20" x14ac:dyDescent="0.25">
      <c r="A855" s="2">
        <v>6962181067</v>
      </c>
      <c r="B855" s="3">
        <v>42465</v>
      </c>
      <c r="C855" t="str">
        <f t="shared" si="66"/>
        <v>Tuesday</v>
      </c>
      <c r="D855" t="str">
        <f t="shared" si="68"/>
        <v>Weekday</v>
      </c>
      <c r="E855" s="2">
        <v>12010</v>
      </c>
      <c r="F855" s="2">
        <v>7.9400000569999998</v>
      </c>
      <c r="G855" s="2">
        <v>7.9400000569999998</v>
      </c>
      <c r="H855" s="2">
        <v>0</v>
      </c>
      <c r="I855" s="2">
        <v>2.380000114</v>
      </c>
      <c r="J855" s="2">
        <v>0.94999998799999996</v>
      </c>
      <c r="K855" s="2">
        <v>4.6100001339999999</v>
      </c>
      <c r="L855" s="2">
        <v>0</v>
      </c>
      <c r="M855" s="2">
        <v>38</v>
      </c>
      <c r="N855" s="2">
        <v>17</v>
      </c>
      <c r="O855" s="2">
        <v>287</v>
      </c>
      <c r="P855" s="2">
        <v>692</v>
      </c>
      <c r="Q855" s="2">
        <f t="shared" si="67"/>
        <v>342</v>
      </c>
      <c r="R855" s="2">
        <f t="shared" si="65"/>
        <v>1034</v>
      </c>
      <c r="S855" t="str">
        <f t="shared" si="69"/>
        <v>Highly Active</v>
      </c>
      <c r="T855" s="2">
        <v>2158</v>
      </c>
    </row>
    <row r="856" spans="1:20" x14ac:dyDescent="0.25">
      <c r="A856" s="2">
        <v>6962181067</v>
      </c>
      <c r="B856" s="3">
        <v>42466</v>
      </c>
      <c r="C856" t="str">
        <f t="shared" si="66"/>
        <v>Wednesday</v>
      </c>
      <c r="D856" t="str">
        <f t="shared" si="68"/>
        <v>Weekday</v>
      </c>
      <c r="E856" s="2">
        <v>12480</v>
      </c>
      <c r="F856" s="2">
        <v>8.8599996569999995</v>
      </c>
      <c r="G856" s="2">
        <v>8.25</v>
      </c>
      <c r="H856" s="2">
        <v>3.97279501</v>
      </c>
      <c r="I856" s="2">
        <v>4.1799998279999997</v>
      </c>
      <c r="J856" s="2">
        <v>0.689999998</v>
      </c>
      <c r="K856" s="2">
        <v>4</v>
      </c>
      <c r="L856" s="2">
        <v>0</v>
      </c>
      <c r="M856" s="2">
        <v>55</v>
      </c>
      <c r="N856" s="2">
        <v>14</v>
      </c>
      <c r="O856" s="2">
        <v>276</v>
      </c>
      <c r="P856" s="2">
        <v>593</v>
      </c>
      <c r="Q856" s="2">
        <f t="shared" si="67"/>
        <v>345</v>
      </c>
      <c r="R856" s="2">
        <f t="shared" si="65"/>
        <v>938</v>
      </c>
      <c r="S856" t="str">
        <f t="shared" si="69"/>
        <v>Highly Active</v>
      </c>
      <c r="T856" s="2">
        <v>2170</v>
      </c>
    </row>
    <row r="857" spans="1:20" x14ac:dyDescent="0.25">
      <c r="A857" s="2">
        <v>6962181067</v>
      </c>
      <c r="B857" s="3">
        <v>42467</v>
      </c>
      <c r="C857" t="str">
        <f t="shared" si="66"/>
        <v>Thursday</v>
      </c>
      <c r="D857" t="str">
        <f t="shared" si="68"/>
        <v>Weekday</v>
      </c>
      <c r="E857" s="2">
        <v>13417</v>
      </c>
      <c r="F857" s="2">
        <v>9.6499996190000008</v>
      </c>
      <c r="G857" s="2">
        <v>8.8699998860000004</v>
      </c>
      <c r="H857" s="2">
        <v>1.9263019560000001</v>
      </c>
      <c r="I857" s="2">
        <v>3.3900001049999999</v>
      </c>
      <c r="J857" s="2">
        <v>1.25</v>
      </c>
      <c r="K857" s="2">
        <v>4.9099998469999999</v>
      </c>
      <c r="L857" s="2">
        <v>0.10000000100000001</v>
      </c>
      <c r="M857" s="2">
        <v>45</v>
      </c>
      <c r="N857" s="2">
        <v>16</v>
      </c>
      <c r="O857" s="2">
        <v>284</v>
      </c>
      <c r="P857" s="2">
        <v>665</v>
      </c>
      <c r="Q857" s="2">
        <f t="shared" si="67"/>
        <v>345</v>
      </c>
      <c r="R857" s="2">
        <f t="shared" si="65"/>
        <v>1010</v>
      </c>
      <c r="S857" t="str">
        <f t="shared" si="69"/>
        <v>Highly Active</v>
      </c>
      <c r="T857" s="2">
        <v>2244</v>
      </c>
    </row>
    <row r="858" spans="1:20" x14ac:dyDescent="0.25">
      <c r="A858" s="2">
        <v>6962181067</v>
      </c>
      <c r="B858" s="3">
        <v>42468</v>
      </c>
      <c r="C858" t="str">
        <f t="shared" si="66"/>
        <v>Friday</v>
      </c>
      <c r="D858" t="str">
        <f t="shared" si="68"/>
        <v>Weekday</v>
      </c>
      <c r="E858" s="2">
        <v>14400</v>
      </c>
      <c r="F858" s="2">
        <v>10.880000109999999</v>
      </c>
      <c r="G858" s="2">
        <v>9.5200004580000002</v>
      </c>
      <c r="H858" s="2">
        <v>5.4568638800000002</v>
      </c>
      <c r="I858" s="2">
        <v>2.4700000289999999</v>
      </c>
      <c r="J858" s="2">
        <v>2.880000114</v>
      </c>
      <c r="K858" s="2">
        <v>5.5300002099999999</v>
      </c>
      <c r="L858" s="2">
        <v>0</v>
      </c>
      <c r="M858" s="2">
        <v>27</v>
      </c>
      <c r="N858" s="2">
        <v>37</v>
      </c>
      <c r="O858" s="2">
        <v>276</v>
      </c>
      <c r="P858" s="2">
        <v>697</v>
      </c>
      <c r="Q858" s="2">
        <f t="shared" si="67"/>
        <v>340</v>
      </c>
      <c r="R858" s="2">
        <f t="shared" si="65"/>
        <v>1037</v>
      </c>
      <c r="S858" t="str">
        <f t="shared" si="69"/>
        <v>Highly Active</v>
      </c>
      <c r="T858" s="2">
        <v>2188</v>
      </c>
    </row>
    <row r="859" spans="1:20" x14ac:dyDescent="0.25">
      <c r="A859" s="2">
        <v>6962181067</v>
      </c>
      <c r="B859" s="3">
        <v>42469</v>
      </c>
      <c r="C859" t="str">
        <f t="shared" si="66"/>
        <v>Saturday</v>
      </c>
      <c r="D859" t="str">
        <f t="shared" si="68"/>
        <v>Weekend</v>
      </c>
      <c r="E859" s="2">
        <v>12495</v>
      </c>
      <c r="F859" s="2">
        <v>8.2600002289999992</v>
      </c>
      <c r="G859" s="2">
        <v>8.2600002289999992</v>
      </c>
      <c r="H859" s="2">
        <v>0</v>
      </c>
      <c r="I859" s="2">
        <v>2.210000038</v>
      </c>
      <c r="J859" s="2">
        <v>1.0900000329999999</v>
      </c>
      <c r="K859" s="2">
        <v>4.9600000380000004</v>
      </c>
      <c r="L859" s="2">
        <v>0</v>
      </c>
      <c r="M859" s="2">
        <v>33</v>
      </c>
      <c r="N859" s="2">
        <v>19</v>
      </c>
      <c r="O859" s="2">
        <v>324</v>
      </c>
      <c r="P859" s="2">
        <v>609</v>
      </c>
      <c r="Q859" s="2">
        <f t="shared" si="67"/>
        <v>376</v>
      </c>
      <c r="R859" s="2">
        <f t="shared" ref="R859:R919" si="70">SUM(M859:P859)</f>
        <v>985</v>
      </c>
      <c r="S859" t="str">
        <f t="shared" si="69"/>
        <v>Highly Active</v>
      </c>
      <c r="T859" s="2">
        <v>2231</v>
      </c>
    </row>
    <row r="860" spans="1:20" x14ac:dyDescent="0.25">
      <c r="A860" s="2">
        <v>6962181067</v>
      </c>
      <c r="B860" s="3">
        <v>42470</v>
      </c>
      <c r="C860" t="str">
        <f t="shared" si="66"/>
        <v>Sunday</v>
      </c>
      <c r="D860" t="str">
        <f t="shared" si="68"/>
        <v>Weekend</v>
      </c>
      <c r="E860" s="2">
        <v>10148</v>
      </c>
      <c r="F860" s="2">
        <v>6.7100000380000004</v>
      </c>
      <c r="G860" s="2">
        <v>6.7100000380000004</v>
      </c>
      <c r="H860" s="2">
        <v>0</v>
      </c>
      <c r="I860" s="2">
        <v>1.3600000139999999</v>
      </c>
      <c r="J860" s="2">
        <v>0.219999999</v>
      </c>
      <c r="K860" s="2">
        <v>5.1300001139999996</v>
      </c>
      <c r="L860" s="2">
        <v>0</v>
      </c>
      <c r="M860" s="2">
        <v>19</v>
      </c>
      <c r="N860" s="2">
        <v>7</v>
      </c>
      <c r="O860" s="2">
        <v>306</v>
      </c>
      <c r="P860" s="2">
        <v>679</v>
      </c>
      <c r="Q860" s="2">
        <f t="shared" si="67"/>
        <v>332</v>
      </c>
      <c r="R860" s="2">
        <f t="shared" si="70"/>
        <v>1011</v>
      </c>
      <c r="S860" t="str">
        <f t="shared" si="69"/>
        <v>Highly Active</v>
      </c>
      <c r="T860" s="2">
        <v>2100</v>
      </c>
    </row>
    <row r="861" spans="1:20" x14ac:dyDescent="0.25">
      <c r="A861" s="2">
        <v>6962181067</v>
      </c>
      <c r="B861" s="3">
        <v>42471</v>
      </c>
      <c r="C861" t="str">
        <f t="shared" si="66"/>
        <v>Monday</v>
      </c>
      <c r="D861" t="str">
        <f t="shared" si="68"/>
        <v>Weekday</v>
      </c>
      <c r="E861" s="2">
        <v>12362</v>
      </c>
      <c r="F861" s="2">
        <v>9.0900001530000001</v>
      </c>
      <c r="G861" s="2">
        <v>8.1700000760000009</v>
      </c>
      <c r="H861" s="2">
        <v>2.696455002</v>
      </c>
      <c r="I861" s="2">
        <v>1.0900000329999999</v>
      </c>
      <c r="J861" s="2">
        <v>2.7300000190000002</v>
      </c>
      <c r="K861" s="2">
        <v>5.2699999809999998</v>
      </c>
      <c r="L861" s="2">
        <v>0</v>
      </c>
      <c r="M861" s="2">
        <v>21</v>
      </c>
      <c r="N861" s="2">
        <v>38</v>
      </c>
      <c r="O861" s="2">
        <v>297</v>
      </c>
      <c r="P861" s="2">
        <v>678</v>
      </c>
      <c r="Q861" s="2">
        <f t="shared" si="67"/>
        <v>356</v>
      </c>
      <c r="R861" s="2">
        <f t="shared" si="70"/>
        <v>1034</v>
      </c>
      <c r="S861" t="str">
        <f t="shared" si="69"/>
        <v>Highly Active</v>
      </c>
      <c r="T861" s="2">
        <v>2188</v>
      </c>
    </row>
    <row r="862" spans="1:20" x14ac:dyDescent="0.25">
      <c r="A862" s="2">
        <v>6962181067</v>
      </c>
      <c r="B862" s="3">
        <v>42473</v>
      </c>
      <c r="C862" t="str">
        <f t="shared" si="66"/>
        <v>Wednesday</v>
      </c>
      <c r="D862" t="str">
        <f t="shared" si="68"/>
        <v>Weekday</v>
      </c>
      <c r="E862" s="2">
        <v>5652</v>
      </c>
      <c r="F862" s="2">
        <v>3.7400000100000002</v>
      </c>
      <c r="G862" s="2">
        <v>3.7400000100000002</v>
      </c>
      <c r="H862" s="2">
        <v>0</v>
      </c>
      <c r="I862" s="2">
        <v>0.56999999300000004</v>
      </c>
      <c r="J862" s="2">
        <v>1.210000038</v>
      </c>
      <c r="K862" s="2">
        <v>1.960000038</v>
      </c>
      <c r="L862" s="2">
        <v>0</v>
      </c>
      <c r="M862" s="2">
        <v>8</v>
      </c>
      <c r="N862" s="2">
        <v>24</v>
      </c>
      <c r="O862" s="2">
        <v>142</v>
      </c>
      <c r="P862" s="2">
        <v>548</v>
      </c>
      <c r="Q862" s="2">
        <f t="shared" si="67"/>
        <v>174</v>
      </c>
      <c r="R862" s="2">
        <f t="shared" si="70"/>
        <v>722</v>
      </c>
      <c r="S862" t="str">
        <f t="shared" si="69"/>
        <v>Lightly Active</v>
      </c>
      <c r="T862" s="2">
        <v>1718</v>
      </c>
    </row>
    <row r="863" spans="1:20" x14ac:dyDescent="0.25">
      <c r="A863" s="2">
        <v>6962181067</v>
      </c>
      <c r="B863" s="3">
        <v>42474</v>
      </c>
      <c r="C863" t="str">
        <f t="shared" ref="C863:C924" si="71">CHOOSE(WEEKDAY(B863), "Sunday", "Monday", "Tuesday", "Wednesday", "Thursday", "Friday", "Saturday")</f>
        <v>Thursday</v>
      </c>
      <c r="D863" t="str">
        <f t="shared" si="68"/>
        <v>Weekday</v>
      </c>
      <c r="E863" s="2">
        <v>1551</v>
      </c>
      <c r="F863" s="2">
        <v>1.0299999710000001</v>
      </c>
      <c r="G863" s="2">
        <v>1.0299999710000001</v>
      </c>
      <c r="H863" s="2">
        <v>0</v>
      </c>
      <c r="I863" s="2">
        <v>0</v>
      </c>
      <c r="J863" s="2">
        <v>0</v>
      </c>
      <c r="K863" s="2">
        <v>1.0299999710000001</v>
      </c>
      <c r="L863" s="2">
        <v>0</v>
      </c>
      <c r="M863" s="2">
        <v>0</v>
      </c>
      <c r="N863" s="2">
        <v>0</v>
      </c>
      <c r="O863" s="2">
        <v>86</v>
      </c>
      <c r="P863" s="2">
        <v>862</v>
      </c>
      <c r="Q863" s="2">
        <f t="shared" ref="Q863:Q924" si="72">SUM(M863:O863)</f>
        <v>86</v>
      </c>
      <c r="R863" s="2">
        <f t="shared" si="70"/>
        <v>948</v>
      </c>
      <c r="S863" t="str">
        <f t="shared" si="69"/>
        <v>Sedentary</v>
      </c>
      <c r="T863" s="2">
        <v>1466</v>
      </c>
    </row>
    <row r="864" spans="1:20" x14ac:dyDescent="0.25">
      <c r="A864" s="2">
        <v>6962181067</v>
      </c>
      <c r="B864" s="3">
        <v>42475</v>
      </c>
      <c r="C864" t="str">
        <f t="shared" si="71"/>
        <v>Friday</v>
      </c>
      <c r="D864" t="str">
        <f t="shared" si="68"/>
        <v>Weekday</v>
      </c>
      <c r="E864" s="2">
        <v>5563</v>
      </c>
      <c r="F864" s="2">
        <v>3.6800000669999999</v>
      </c>
      <c r="G864" s="2">
        <v>3.6800000669999999</v>
      </c>
      <c r="H864" s="2">
        <v>0</v>
      </c>
      <c r="I864" s="2">
        <v>0</v>
      </c>
      <c r="J864" s="2">
        <v>0</v>
      </c>
      <c r="K864" s="2">
        <v>3.6800000669999999</v>
      </c>
      <c r="L864" s="2">
        <v>0</v>
      </c>
      <c r="M864" s="2">
        <v>0</v>
      </c>
      <c r="N864" s="2">
        <v>0</v>
      </c>
      <c r="O864" s="2">
        <v>217</v>
      </c>
      <c r="P864" s="2">
        <v>837</v>
      </c>
      <c r="Q864" s="2">
        <f t="shared" si="72"/>
        <v>217</v>
      </c>
      <c r="R864" s="2">
        <f t="shared" si="70"/>
        <v>1054</v>
      </c>
      <c r="S864" t="str">
        <f t="shared" si="69"/>
        <v>Lightly Active</v>
      </c>
      <c r="T864" s="2">
        <v>1756</v>
      </c>
    </row>
    <row r="865" spans="1:20" x14ac:dyDescent="0.25">
      <c r="A865" s="2">
        <v>6962181067</v>
      </c>
      <c r="B865" s="3">
        <v>42476</v>
      </c>
      <c r="C865" t="str">
        <f t="shared" si="71"/>
        <v>Saturday</v>
      </c>
      <c r="D865" t="str">
        <f t="shared" si="68"/>
        <v>Weekend</v>
      </c>
      <c r="E865" s="2">
        <v>13217</v>
      </c>
      <c r="F865" s="2">
        <v>8.7399997710000008</v>
      </c>
      <c r="G865" s="2">
        <v>8.7399997710000008</v>
      </c>
      <c r="H865" s="2">
        <v>0</v>
      </c>
      <c r="I865" s="2">
        <v>3.6600000860000002</v>
      </c>
      <c r="J865" s="2">
        <v>0.189999998</v>
      </c>
      <c r="K865" s="2">
        <v>4.8800001139999996</v>
      </c>
      <c r="L865" s="2">
        <v>0</v>
      </c>
      <c r="M865" s="2">
        <v>50</v>
      </c>
      <c r="N865" s="2">
        <v>3</v>
      </c>
      <c r="O865" s="2">
        <v>280</v>
      </c>
      <c r="P865" s="2">
        <v>741</v>
      </c>
      <c r="Q865" s="2">
        <f t="shared" si="72"/>
        <v>333</v>
      </c>
      <c r="R865" s="2">
        <f t="shared" si="70"/>
        <v>1074</v>
      </c>
      <c r="S865" t="str">
        <f t="shared" si="69"/>
        <v>Highly Active</v>
      </c>
      <c r="T865" s="2">
        <v>2173</v>
      </c>
    </row>
    <row r="866" spans="1:20" x14ac:dyDescent="0.25">
      <c r="A866" s="2">
        <v>6962181067</v>
      </c>
      <c r="B866" s="3">
        <v>42477</v>
      </c>
      <c r="C866" t="str">
        <f t="shared" si="71"/>
        <v>Sunday</v>
      </c>
      <c r="D866" t="str">
        <f t="shared" si="68"/>
        <v>Weekend</v>
      </c>
      <c r="E866" s="2">
        <v>10145</v>
      </c>
      <c r="F866" s="2">
        <v>6.7100000380000004</v>
      </c>
      <c r="G866" s="2">
        <v>6.7100000380000004</v>
      </c>
      <c r="H866" s="2">
        <v>0</v>
      </c>
      <c r="I866" s="2">
        <v>0.33000001299999998</v>
      </c>
      <c r="J866" s="2">
        <v>0.68000000699999996</v>
      </c>
      <c r="K866" s="2">
        <v>5.6900000569999998</v>
      </c>
      <c r="L866" s="2">
        <v>0</v>
      </c>
      <c r="M866" s="2">
        <v>5</v>
      </c>
      <c r="N866" s="2">
        <v>13</v>
      </c>
      <c r="O866" s="2">
        <v>295</v>
      </c>
      <c r="P866" s="2">
        <v>634</v>
      </c>
      <c r="Q866" s="2">
        <f t="shared" si="72"/>
        <v>313</v>
      </c>
      <c r="R866" s="2">
        <f t="shared" si="70"/>
        <v>947</v>
      </c>
      <c r="S866" t="str">
        <f t="shared" si="69"/>
        <v>Highly Active</v>
      </c>
      <c r="T866" s="2">
        <v>2027</v>
      </c>
    </row>
    <row r="867" spans="1:20" x14ac:dyDescent="0.25">
      <c r="A867" s="2">
        <v>6962181067</v>
      </c>
      <c r="B867" s="3">
        <v>42478</v>
      </c>
      <c r="C867" t="str">
        <f t="shared" si="71"/>
        <v>Monday</v>
      </c>
      <c r="D867" t="str">
        <f t="shared" si="68"/>
        <v>Weekday</v>
      </c>
      <c r="E867" s="2">
        <v>11404</v>
      </c>
      <c r="F867" s="2">
        <v>7.5399999619999996</v>
      </c>
      <c r="G867" s="2">
        <v>7.5399999619999996</v>
      </c>
      <c r="H867" s="2">
        <v>0</v>
      </c>
      <c r="I867" s="2">
        <v>0.829999983</v>
      </c>
      <c r="J867" s="2">
        <v>2.3900001049999999</v>
      </c>
      <c r="K867" s="2">
        <v>4.3200001720000003</v>
      </c>
      <c r="L867" s="2">
        <v>0</v>
      </c>
      <c r="M867" s="2">
        <v>13</v>
      </c>
      <c r="N867" s="2">
        <v>42</v>
      </c>
      <c r="O867" s="2">
        <v>238</v>
      </c>
      <c r="P867" s="2">
        <v>689</v>
      </c>
      <c r="Q867" s="2">
        <f t="shared" si="72"/>
        <v>293</v>
      </c>
      <c r="R867" s="2">
        <f t="shared" si="70"/>
        <v>982</v>
      </c>
      <c r="S867" t="str">
        <f t="shared" si="69"/>
        <v>Highly Active</v>
      </c>
      <c r="T867" s="2">
        <v>2039</v>
      </c>
    </row>
    <row r="868" spans="1:20" x14ac:dyDescent="0.25">
      <c r="A868" s="2">
        <v>6962181067</v>
      </c>
      <c r="B868" s="3">
        <v>42479</v>
      </c>
      <c r="C868" t="str">
        <f t="shared" si="71"/>
        <v>Tuesday</v>
      </c>
      <c r="D868" t="str">
        <f t="shared" si="68"/>
        <v>Weekday</v>
      </c>
      <c r="E868" s="2">
        <v>10742</v>
      </c>
      <c r="F868" s="2">
        <v>7.0999999049999998</v>
      </c>
      <c r="G868" s="2">
        <v>7.0999999049999998</v>
      </c>
      <c r="H868" s="2">
        <v>0</v>
      </c>
      <c r="I868" s="2">
        <v>2.0999999049999998</v>
      </c>
      <c r="J868" s="2">
        <v>2.130000114</v>
      </c>
      <c r="K868" s="2">
        <v>2.869999886</v>
      </c>
      <c r="L868" s="2">
        <v>0</v>
      </c>
      <c r="M868" s="2">
        <v>35</v>
      </c>
      <c r="N868" s="2">
        <v>41</v>
      </c>
      <c r="O868" s="2">
        <v>195</v>
      </c>
      <c r="P868" s="2">
        <v>659</v>
      </c>
      <c r="Q868" s="2">
        <f t="shared" si="72"/>
        <v>271</v>
      </c>
      <c r="R868" s="2">
        <f t="shared" si="70"/>
        <v>930</v>
      </c>
      <c r="S868" t="str">
        <f t="shared" si="69"/>
        <v>Highly Active</v>
      </c>
      <c r="T868" s="2">
        <v>2046</v>
      </c>
    </row>
    <row r="869" spans="1:20" x14ac:dyDescent="0.25">
      <c r="A869" s="2">
        <v>6962181067</v>
      </c>
      <c r="B869" s="3">
        <v>42480</v>
      </c>
      <c r="C869" t="str">
        <f t="shared" si="71"/>
        <v>Wednesday</v>
      </c>
      <c r="D869" t="str">
        <f t="shared" si="68"/>
        <v>Weekday</v>
      </c>
      <c r="E869" s="2">
        <v>13928</v>
      </c>
      <c r="F869" s="2">
        <v>9.5500001910000005</v>
      </c>
      <c r="G869" s="2">
        <v>9.5500001910000005</v>
      </c>
      <c r="H869" s="2">
        <v>0</v>
      </c>
      <c r="I869" s="2">
        <v>4.2800002099999999</v>
      </c>
      <c r="J869" s="2">
        <v>0.189999998</v>
      </c>
      <c r="K869" s="2">
        <v>5.0900001530000001</v>
      </c>
      <c r="L869" s="2">
        <v>0</v>
      </c>
      <c r="M869" s="2">
        <v>48</v>
      </c>
      <c r="N869" s="2">
        <v>4</v>
      </c>
      <c r="O869" s="2">
        <v>297</v>
      </c>
      <c r="P869" s="2">
        <v>639</v>
      </c>
      <c r="Q869" s="2">
        <f t="shared" si="72"/>
        <v>349</v>
      </c>
      <c r="R869" s="2">
        <f t="shared" si="70"/>
        <v>988</v>
      </c>
      <c r="S869" t="str">
        <f t="shared" si="69"/>
        <v>Highly Active</v>
      </c>
      <c r="T869" s="2">
        <v>2174</v>
      </c>
    </row>
    <row r="870" spans="1:20" x14ac:dyDescent="0.25">
      <c r="A870" s="2">
        <v>6962181067</v>
      </c>
      <c r="B870" s="3">
        <v>42481</v>
      </c>
      <c r="C870" t="str">
        <f t="shared" si="71"/>
        <v>Thursday</v>
      </c>
      <c r="D870" t="str">
        <f t="shared" si="68"/>
        <v>Weekday</v>
      </c>
      <c r="E870" s="2">
        <v>11835</v>
      </c>
      <c r="F870" s="2">
        <v>9.7100000380000004</v>
      </c>
      <c r="G870" s="2">
        <v>7.8800001139999996</v>
      </c>
      <c r="H870" s="2">
        <v>4.0816922189999998</v>
      </c>
      <c r="I870" s="2">
        <v>3.9900000100000002</v>
      </c>
      <c r="J870" s="2">
        <v>2.0999999049999998</v>
      </c>
      <c r="K870" s="2">
        <v>3.5099999899999998</v>
      </c>
      <c r="L870" s="2">
        <v>0.109999999</v>
      </c>
      <c r="M870" s="2">
        <v>53</v>
      </c>
      <c r="N870" s="2">
        <v>27</v>
      </c>
      <c r="O870" s="2">
        <v>214</v>
      </c>
      <c r="P870" s="2">
        <v>708</v>
      </c>
      <c r="Q870" s="2">
        <f t="shared" si="72"/>
        <v>294</v>
      </c>
      <c r="R870" s="2">
        <f t="shared" si="70"/>
        <v>1002</v>
      </c>
      <c r="S870" t="str">
        <f t="shared" si="69"/>
        <v>Highly Active</v>
      </c>
      <c r="T870" s="2">
        <v>2179</v>
      </c>
    </row>
    <row r="871" spans="1:20" x14ac:dyDescent="0.25">
      <c r="A871" s="2">
        <v>6962181067</v>
      </c>
      <c r="B871" s="3">
        <v>42482</v>
      </c>
      <c r="C871" t="str">
        <f t="shared" si="71"/>
        <v>Friday</v>
      </c>
      <c r="D871" t="str">
        <f t="shared" si="68"/>
        <v>Weekday</v>
      </c>
      <c r="E871" s="2">
        <v>10725</v>
      </c>
      <c r="F871" s="2">
        <v>7.0900001530000001</v>
      </c>
      <c r="G871" s="2">
        <v>7.0900001530000001</v>
      </c>
      <c r="H871" s="2">
        <v>0</v>
      </c>
      <c r="I871" s="2">
        <v>1.769999981</v>
      </c>
      <c r="J871" s="2">
        <v>1.5499999520000001</v>
      </c>
      <c r="K871" s="2">
        <v>3.7699999809999998</v>
      </c>
      <c r="L871" s="2">
        <v>0</v>
      </c>
      <c r="M871" s="2">
        <v>30</v>
      </c>
      <c r="N871" s="2">
        <v>33</v>
      </c>
      <c r="O871" s="2">
        <v>240</v>
      </c>
      <c r="P871" s="2">
        <v>659</v>
      </c>
      <c r="Q871" s="2">
        <f t="shared" si="72"/>
        <v>303</v>
      </c>
      <c r="R871" s="2">
        <f t="shared" si="70"/>
        <v>962</v>
      </c>
      <c r="S871" t="str">
        <f t="shared" si="69"/>
        <v>Highly Active</v>
      </c>
      <c r="T871" s="2">
        <v>2086</v>
      </c>
    </row>
    <row r="872" spans="1:20" x14ac:dyDescent="0.25">
      <c r="A872" s="2">
        <v>6962181067</v>
      </c>
      <c r="B872" s="3">
        <v>42483</v>
      </c>
      <c r="C872" t="str">
        <f t="shared" si="71"/>
        <v>Saturday</v>
      </c>
      <c r="D872" t="str">
        <f t="shared" si="68"/>
        <v>Weekend</v>
      </c>
      <c r="E872" s="2">
        <v>20031</v>
      </c>
      <c r="F872" s="2">
        <v>13.239999770000001</v>
      </c>
      <c r="G872" s="2">
        <v>13.239999770000001</v>
      </c>
      <c r="H872" s="2">
        <v>0</v>
      </c>
      <c r="I872" s="2">
        <v>4.1999998090000004</v>
      </c>
      <c r="J872" s="2">
        <v>2</v>
      </c>
      <c r="K872" s="2">
        <v>7.0399999619999996</v>
      </c>
      <c r="L872" s="2">
        <v>0</v>
      </c>
      <c r="M872" s="2">
        <v>58</v>
      </c>
      <c r="N872" s="2">
        <v>41</v>
      </c>
      <c r="O872" s="2">
        <v>347</v>
      </c>
      <c r="P872" s="2">
        <v>484</v>
      </c>
      <c r="Q872" s="2">
        <f t="shared" si="72"/>
        <v>446</v>
      </c>
      <c r="R872" s="2">
        <f t="shared" si="70"/>
        <v>930</v>
      </c>
      <c r="S872" t="str">
        <f t="shared" si="69"/>
        <v>Highly Active</v>
      </c>
      <c r="T872" s="2">
        <v>2571</v>
      </c>
    </row>
    <row r="873" spans="1:20" x14ac:dyDescent="0.25">
      <c r="A873" s="2">
        <v>6962181067</v>
      </c>
      <c r="B873" s="3">
        <v>42484</v>
      </c>
      <c r="C873" t="str">
        <f t="shared" si="71"/>
        <v>Sunday</v>
      </c>
      <c r="D873" t="str">
        <f t="shared" si="68"/>
        <v>Weekend</v>
      </c>
      <c r="E873" s="2">
        <v>5029</v>
      </c>
      <c r="F873" s="2">
        <v>3.3199999330000001</v>
      </c>
      <c r="G873" s="2">
        <v>3.3199999330000001</v>
      </c>
      <c r="H873" s="2">
        <v>0</v>
      </c>
      <c r="I873" s="2">
        <v>0</v>
      </c>
      <c r="J873" s="2">
        <v>0</v>
      </c>
      <c r="K873" s="2">
        <v>3.3199999330000001</v>
      </c>
      <c r="L873" s="2">
        <v>0</v>
      </c>
      <c r="M873" s="2">
        <v>0</v>
      </c>
      <c r="N873" s="2">
        <v>0</v>
      </c>
      <c r="O873" s="2">
        <v>199</v>
      </c>
      <c r="P873" s="2">
        <v>720</v>
      </c>
      <c r="Q873" s="2">
        <f t="shared" si="72"/>
        <v>199</v>
      </c>
      <c r="R873" s="2">
        <f t="shared" si="70"/>
        <v>919</v>
      </c>
      <c r="S873" t="str">
        <f t="shared" si="69"/>
        <v>Lightly Active</v>
      </c>
      <c r="T873" s="2">
        <v>1705</v>
      </c>
    </row>
    <row r="874" spans="1:20" x14ac:dyDescent="0.25">
      <c r="A874" s="2">
        <v>6962181067</v>
      </c>
      <c r="B874" s="3">
        <v>42485</v>
      </c>
      <c r="C874" t="str">
        <f t="shared" si="71"/>
        <v>Monday</v>
      </c>
      <c r="D874" t="str">
        <f t="shared" si="68"/>
        <v>Weekday</v>
      </c>
      <c r="E874" s="2">
        <v>13239</v>
      </c>
      <c r="F874" s="2">
        <v>9.2700004580000002</v>
      </c>
      <c r="G874" s="2">
        <v>9.0799999239999991</v>
      </c>
      <c r="H874" s="2">
        <v>2.7851750850000001</v>
      </c>
      <c r="I874" s="2">
        <v>3.0199999809999998</v>
      </c>
      <c r="J874" s="2">
        <v>1.6799999480000001</v>
      </c>
      <c r="K874" s="2">
        <v>4.4600000380000004</v>
      </c>
      <c r="L874" s="2">
        <v>0.10000000100000001</v>
      </c>
      <c r="M874" s="2">
        <v>35</v>
      </c>
      <c r="N874" s="2">
        <v>31</v>
      </c>
      <c r="O874" s="2">
        <v>282</v>
      </c>
      <c r="P874" s="2">
        <v>637</v>
      </c>
      <c r="Q874" s="2">
        <f t="shared" si="72"/>
        <v>348</v>
      </c>
      <c r="R874" s="2">
        <f t="shared" si="70"/>
        <v>985</v>
      </c>
      <c r="S874" t="str">
        <f t="shared" si="69"/>
        <v>Highly Active</v>
      </c>
      <c r="T874" s="2">
        <v>2194</v>
      </c>
    </row>
    <row r="875" spans="1:20" x14ac:dyDescent="0.25">
      <c r="A875" s="2">
        <v>6962181067</v>
      </c>
      <c r="B875" s="3">
        <v>42486</v>
      </c>
      <c r="C875" t="str">
        <f t="shared" si="71"/>
        <v>Tuesday</v>
      </c>
      <c r="D875" t="str">
        <f t="shared" si="68"/>
        <v>Weekday</v>
      </c>
      <c r="E875" s="2">
        <v>10433</v>
      </c>
      <c r="F875" s="2">
        <v>6.9000000950000002</v>
      </c>
      <c r="G875" s="2">
        <v>6.9000000950000002</v>
      </c>
      <c r="H875" s="2">
        <v>0</v>
      </c>
      <c r="I875" s="2">
        <v>2.579999924</v>
      </c>
      <c r="J875" s="2">
        <v>0.41999998700000002</v>
      </c>
      <c r="K875" s="2">
        <v>3.9000000950000002</v>
      </c>
      <c r="L875" s="2">
        <v>0</v>
      </c>
      <c r="M875" s="2">
        <v>36</v>
      </c>
      <c r="N875" s="2">
        <v>7</v>
      </c>
      <c r="O875" s="2">
        <v>254</v>
      </c>
      <c r="P875" s="2">
        <v>680</v>
      </c>
      <c r="Q875" s="2">
        <f t="shared" si="72"/>
        <v>297</v>
      </c>
      <c r="R875" s="2">
        <f t="shared" si="70"/>
        <v>977</v>
      </c>
      <c r="S875" t="str">
        <f t="shared" si="69"/>
        <v>Highly Active</v>
      </c>
      <c r="T875" s="2">
        <v>2012</v>
      </c>
    </row>
    <row r="876" spans="1:20" x14ac:dyDescent="0.25">
      <c r="A876" s="2">
        <v>6962181067</v>
      </c>
      <c r="B876" s="3">
        <v>42487</v>
      </c>
      <c r="C876" t="str">
        <f t="shared" si="71"/>
        <v>Wednesday</v>
      </c>
      <c r="D876" t="str">
        <f t="shared" si="68"/>
        <v>Weekday</v>
      </c>
      <c r="E876" s="2">
        <v>10320</v>
      </c>
      <c r="F876" s="2">
        <v>6.8200001720000003</v>
      </c>
      <c r="G876" s="2">
        <v>6.8200001720000003</v>
      </c>
      <c r="H876" s="2">
        <v>0</v>
      </c>
      <c r="I876" s="2">
        <v>0.55000001200000004</v>
      </c>
      <c r="J876" s="2">
        <v>2.0199999809999998</v>
      </c>
      <c r="K876" s="2">
        <v>4.25</v>
      </c>
      <c r="L876" s="2">
        <v>0</v>
      </c>
      <c r="M876" s="2">
        <v>7</v>
      </c>
      <c r="N876" s="2">
        <v>38</v>
      </c>
      <c r="O876" s="2">
        <v>279</v>
      </c>
      <c r="P876" s="2">
        <v>697</v>
      </c>
      <c r="Q876" s="2">
        <f t="shared" si="72"/>
        <v>324</v>
      </c>
      <c r="R876" s="2">
        <f t="shared" si="70"/>
        <v>1021</v>
      </c>
      <c r="S876" t="str">
        <f t="shared" si="69"/>
        <v>Highly Active</v>
      </c>
      <c r="T876" s="2">
        <v>2034</v>
      </c>
    </row>
    <row r="877" spans="1:20" x14ac:dyDescent="0.25">
      <c r="A877" s="2">
        <v>6962181067</v>
      </c>
      <c r="B877" s="3">
        <v>42488</v>
      </c>
      <c r="C877" t="str">
        <f t="shared" si="71"/>
        <v>Thursday</v>
      </c>
      <c r="D877" t="str">
        <f t="shared" si="68"/>
        <v>Weekday</v>
      </c>
      <c r="E877" s="2">
        <v>12627</v>
      </c>
      <c r="F877" s="2">
        <v>8.3500003809999992</v>
      </c>
      <c r="G877" s="2">
        <v>8.3500003809999992</v>
      </c>
      <c r="H877" s="2">
        <v>0</v>
      </c>
      <c r="I877" s="2">
        <v>2.5099999899999998</v>
      </c>
      <c r="J877" s="2">
        <v>0.23999999499999999</v>
      </c>
      <c r="K877" s="2">
        <v>5.5900001530000001</v>
      </c>
      <c r="L877" s="2">
        <v>0</v>
      </c>
      <c r="M877" s="2">
        <v>38</v>
      </c>
      <c r="N877" s="2">
        <v>8</v>
      </c>
      <c r="O877" s="2">
        <v>288</v>
      </c>
      <c r="P877" s="2">
        <v>621</v>
      </c>
      <c r="Q877" s="2">
        <f t="shared" si="72"/>
        <v>334</v>
      </c>
      <c r="R877" s="2">
        <f t="shared" si="70"/>
        <v>955</v>
      </c>
      <c r="S877" t="str">
        <f t="shared" si="69"/>
        <v>Highly Active</v>
      </c>
      <c r="T877" s="2">
        <v>2182</v>
      </c>
    </row>
    <row r="878" spans="1:20" x14ac:dyDescent="0.25">
      <c r="A878" s="2">
        <v>6962181067</v>
      </c>
      <c r="B878" s="3">
        <v>42489</v>
      </c>
      <c r="C878" t="str">
        <f t="shared" si="71"/>
        <v>Friday</v>
      </c>
      <c r="D878" t="str">
        <f t="shared" si="68"/>
        <v>Weekday</v>
      </c>
      <c r="E878" s="2">
        <v>10762</v>
      </c>
      <c r="F878" s="2">
        <v>7.1100001339999999</v>
      </c>
      <c r="G878" s="2">
        <v>7.1100001339999999</v>
      </c>
      <c r="H878" s="2">
        <v>0</v>
      </c>
      <c r="I878" s="2">
        <v>0.81999999300000004</v>
      </c>
      <c r="J878" s="2">
        <v>0.47999998900000002</v>
      </c>
      <c r="K878" s="2">
        <v>5.8099999430000002</v>
      </c>
      <c r="L878" s="2">
        <v>0</v>
      </c>
      <c r="M878" s="2">
        <v>12</v>
      </c>
      <c r="N878" s="2">
        <v>15</v>
      </c>
      <c r="O878" s="2">
        <v>369</v>
      </c>
      <c r="P878" s="2">
        <v>645</v>
      </c>
      <c r="Q878" s="2">
        <f t="shared" si="72"/>
        <v>396</v>
      </c>
      <c r="R878" s="2">
        <f t="shared" si="70"/>
        <v>1041</v>
      </c>
      <c r="S878" t="str">
        <f t="shared" si="69"/>
        <v>Highly Active</v>
      </c>
      <c r="T878" s="2">
        <v>2254</v>
      </c>
    </row>
    <row r="879" spans="1:20" x14ac:dyDescent="0.25">
      <c r="A879" s="2">
        <v>6962181067</v>
      </c>
      <c r="B879" s="3">
        <v>42490</v>
      </c>
      <c r="C879" t="str">
        <f t="shared" si="71"/>
        <v>Saturday</v>
      </c>
      <c r="D879" t="str">
        <f t="shared" si="68"/>
        <v>Weekend</v>
      </c>
      <c r="E879" s="2">
        <v>10081</v>
      </c>
      <c r="F879" s="2">
        <v>6.6599998469999999</v>
      </c>
      <c r="G879" s="2">
        <v>6.6599998469999999</v>
      </c>
      <c r="H879" s="2">
        <v>0</v>
      </c>
      <c r="I879" s="2">
        <v>2.2400000100000002</v>
      </c>
      <c r="J879" s="2">
        <v>0.75999998999999996</v>
      </c>
      <c r="K879" s="2">
        <v>3.670000076</v>
      </c>
      <c r="L879" s="2">
        <v>0</v>
      </c>
      <c r="M879" s="2">
        <v>32</v>
      </c>
      <c r="N879" s="2">
        <v>16</v>
      </c>
      <c r="O879" s="2">
        <v>237</v>
      </c>
      <c r="P879" s="2">
        <v>731</v>
      </c>
      <c r="Q879" s="2">
        <f t="shared" si="72"/>
        <v>285</v>
      </c>
      <c r="R879" s="2">
        <f t="shared" si="70"/>
        <v>1016</v>
      </c>
      <c r="S879" t="str">
        <f t="shared" si="69"/>
        <v>Highly Active</v>
      </c>
      <c r="T879" s="2">
        <v>2002</v>
      </c>
    </row>
    <row r="880" spans="1:20" x14ac:dyDescent="0.25">
      <c r="A880" s="2">
        <v>6962181067</v>
      </c>
      <c r="B880" s="3">
        <v>42491</v>
      </c>
      <c r="C880" t="str">
        <f t="shared" si="71"/>
        <v>Sunday</v>
      </c>
      <c r="D880" t="str">
        <f t="shared" si="68"/>
        <v>Weekend</v>
      </c>
      <c r="E880" s="2">
        <v>5454</v>
      </c>
      <c r="F880" s="2">
        <v>3.6099998950000001</v>
      </c>
      <c r="G880" s="2">
        <v>3.6099998950000001</v>
      </c>
      <c r="H880" s="2">
        <v>0</v>
      </c>
      <c r="I880" s="2">
        <v>0</v>
      </c>
      <c r="J880" s="2">
        <v>0</v>
      </c>
      <c r="K880" s="2">
        <v>3.6099998950000001</v>
      </c>
      <c r="L880" s="2">
        <v>0</v>
      </c>
      <c r="M880" s="2">
        <v>0</v>
      </c>
      <c r="N880" s="2">
        <v>0</v>
      </c>
      <c r="O880" s="2">
        <v>215</v>
      </c>
      <c r="P880" s="2">
        <v>722</v>
      </c>
      <c r="Q880" s="2">
        <f t="shared" si="72"/>
        <v>215</v>
      </c>
      <c r="R880" s="2">
        <f t="shared" si="70"/>
        <v>937</v>
      </c>
      <c r="S880" t="str">
        <f t="shared" si="69"/>
        <v>Lightly Active</v>
      </c>
      <c r="T880" s="2">
        <v>1740</v>
      </c>
    </row>
    <row r="881" spans="1:20" x14ac:dyDescent="0.25">
      <c r="A881" s="2">
        <v>6962181067</v>
      </c>
      <c r="B881" s="3">
        <v>42492</v>
      </c>
      <c r="C881" t="str">
        <f t="shared" si="71"/>
        <v>Monday</v>
      </c>
      <c r="D881" t="str">
        <f t="shared" si="68"/>
        <v>Weekday</v>
      </c>
      <c r="E881" s="2">
        <v>12912</v>
      </c>
      <c r="F881" s="2">
        <v>8.5399999619999996</v>
      </c>
      <c r="G881" s="2">
        <v>8.5399999619999996</v>
      </c>
      <c r="H881" s="2">
        <v>0</v>
      </c>
      <c r="I881" s="2">
        <v>1.2000000479999999</v>
      </c>
      <c r="J881" s="2">
        <v>2</v>
      </c>
      <c r="K881" s="2">
        <v>5.3400001530000001</v>
      </c>
      <c r="L881" s="2">
        <v>0</v>
      </c>
      <c r="M881" s="2">
        <v>18</v>
      </c>
      <c r="N881" s="2">
        <v>39</v>
      </c>
      <c r="O881" s="2">
        <v>313</v>
      </c>
      <c r="P881" s="2">
        <v>655</v>
      </c>
      <c r="Q881" s="2">
        <f t="shared" si="72"/>
        <v>370</v>
      </c>
      <c r="R881" s="2">
        <f t="shared" si="70"/>
        <v>1025</v>
      </c>
      <c r="S881" t="str">
        <f t="shared" si="69"/>
        <v>Highly Active</v>
      </c>
      <c r="T881" s="2">
        <v>2162</v>
      </c>
    </row>
    <row r="882" spans="1:20" x14ac:dyDescent="0.25">
      <c r="A882" s="2">
        <v>6962181067</v>
      </c>
      <c r="B882" s="3">
        <v>42493</v>
      </c>
      <c r="C882" t="str">
        <f t="shared" si="71"/>
        <v>Tuesday</v>
      </c>
      <c r="D882" t="str">
        <f t="shared" si="68"/>
        <v>Weekday</v>
      </c>
      <c r="E882" s="2">
        <v>12109</v>
      </c>
      <c r="F882" s="2">
        <v>8.1199998860000004</v>
      </c>
      <c r="G882" s="2">
        <v>8.1199998860000004</v>
      </c>
      <c r="H882" s="2">
        <v>0</v>
      </c>
      <c r="I882" s="2">
        <v>1.7400000099999999</v>
      </c>
      <c r="J882" s="2">
        <v>2.039999962</v>
      </c>
      <c r="K882" s="2">
        <v>4.329999924</v>
      </c>
      <c r="L882" s="2">
        <v>0</v>
      </c>
      <c r="M882" s="2">
        <v>21</v>
      </c>
      <c r="N882" s="2">
        <v>36</v>
      </c>
      <c r="O882" s="2">
        <v>267</v>
      </c>
      <c r="P882" s="2">
        <v>654</v>
      </c>
      <c r="Q882" s="2">
        <f t="shared" si="72"/>
        <v>324</v>
      </c>
      <c r="R882" s="2">
        <f t="shared" si="70"/>
        <v>978</v>
      </c>
      <c r="S882" t="str">
        <f t="shared" si="69"/>
        <v>Highly Active</v>
      </c>
      <c r="T882" s="2">
        <v>2072</v>
      </c>
    </row>
    <row r="883" spans="1:20" x14ac:dyDescent="0.25">
      <c r="A883" s="2">
        <v>6962181067</v>
      </c>
      <c r="B883" s="3">
        <v>42494</v>
      </c>
      <c r="C883" t="str">
        <f t="shared" si="71"/>
        <v>Wednesday</v>
      </c>
      <c r="D883" t="str">
        <f t="shared" si="68"/>
        <v>Weekday</v>
      </c>
      <c r="E883" s="2">
        <v>10147</v>
      </c>
      <c r="F883" s="2">
        <v>6.7100000380000004</v>
      </c>
      <c r="G883" s="2">
        <v>6.7100000380000004</v>
      </c>
      <c r="H883" s="2">
        <v>0</v>
      </c>
      <c r="I883" s="2">
        <v>0.469999999</v>
      </c>
      <c r="J883" s="2">
        <v>1.6799999480000001</v>
      </c>
      <c r="K883" s="2">
        <v>4.5500001909999996</v>
      </c>
      <c r="L883" s="2">
        <v>0</v>
      </c>
      <c r="M883" s="2">
        <v>15</v>
      </c>
      <c r="N883" s="2">
        <v>36</v>
      </c>
      <c r="O883" s="2">
        <v>284</v>
      </c>
      <c r="P883" s="2">
        <v>683</v>
      </c>
      <c r="Q883" s="2">
        <f t="shared" si="72"/>
        <v>335</v>
      </c>
      <c r="R883" s="2">
        <f t="shared" si="70"/>
        <v>1018</v>
      </c>
      <c r="S883" t="str">
        <f t="shared" si="69"/>
        <v>Highly Active</v>
      </c>
      <c r="T883" s="2">
        <v>2086</v>
      </c>
    </row>
    <row r="884" spans="1:20" x14ac:dyDescent="0.25">
      <c r="A884" s="2">
        <v>6962181067</v>
      </c>
      <c r="B884" s="3">
        <v>42495</v>
      </c>
      <c r="C884" t="str">
        <f t="shared" si="71"/>
        <v>Thursday</v>
      </c>
      <c r="D884" t="str">
        <f t="shared" si="68"/>
        <v>Weekday</v>
      </c>
      <c r="E884" s="2">
        <v>10524</v>
      </c>
      <c r="F884" s="2">
        <v>6.9600000380000004</v>
      </c>
      <c r="G884" s="2">
        <v>6.9600000380000004</v>
      </c>
      <c r="H884" s="2">
        <v>0</v>
      </c>
      <c r="I884" s="2">
        <v>0.99000001000000004</v>
      </c>
      <c r="J884" s="2">
        <v>1.1599999670000001</v>
      </c>
      <c r="K884" s="2">
        <v>4.8099999430000002</v>
      </c>
      <c r="L884" s="2">
        <v>0</v>
      </c>
      <c r="M884" s="2">
        <v>14</v>
      </c>
      <c r="N884" s="2">
        <v>22</v>
      </c>
      <c r="O884" s="2">
        <v>305</v>
      </c>
      <c r="P884" s="2">
        <v>591</v>
      </c>
      <c r="Q884" s="2">
        <f t="shared" si="72"/>
        <v>341</v>
      </c>
      <c r="R884" s="2">
        <f t="shared" si="70"/>
        <v>932</v>
      </c>
      <c r="S884" t="str">
        <f t="shared" si="69"/>
        <v>Highly Active</v>
      </c>
      <c r="T884" s="2">
        <v>2066</v>
      </c>
    </row>
    <row r="885" spans="1:20" x14ac:dyDescent="0.25">
      <c r="A885" s="2">
        <v>6962181067</v>
      </c>
      <c r="B885" s="3">
        <v>42496</v>
      </c>
      <c r="C885" t="str">
        <f t="shared" si="71"/>
        <v>Friday</v>
      </c>
      <c r="D885" t="str">
        <f t="shared" si="68"/>
        <v>Weekday</v>
      </c>
      <c r="E885" s="2">
        <v>5908</v>
      </c>
      <c r="F885" s="2">
        <v>3.9100000860000002</v>
      </c>
      <c r="G885" s="2">
        <v>3.9100000860000002</v>
      </c>
      <c r="H885" s="2">
        <v>0</v>
      </c>
      <c r="I885" s="2">
        <v>0</v>
      </c>
      <c r="J885" s="2">
        <v>0</v>
      </c>
      <c r="K885" s="2">
        <v>3.9100000860000002</v>
      </c>
      <c r="L885" s="2">
        <v>0</v>
      </c>
      <c r="M885" s="2">
        <v>0</v>
      </c>
      <c r="N885" s="2">
        <v>0</v>
      </c>
      <c r="O885" s="2">
        <v>299</v>
      </c>
      <c r="P885" s="2">
        <v>717</v>
      </c>
      <c r="Q885" s="2">
        <f t="shared" si="72"/>
        <v>299</v>
      </c>
      <c r="R885" s="2">
        <f t="shared" si="70"/>
        <v>1016</v>
      </c>
      <c r="S885" t="str">
        <f t="shared" si="69"/>
        <v>Lightly Active</v>
      </c>
      <c r="T885" s="2">
        <v>1850</v>
      </c>
    </row>
    <row r="886" spans="1:20" x14ac:dyDescent="0.25">
      <c r="A886" s="2">
        <v>6962181067</v>
      </c>
      <c r="B886" s="3">
        <v>42497</v>
      </c>
      <c r="C886" t="str">
        <f t="shared" si="71"/>
        <v>Saturday</v>
      </c>
      <c r="D886" t="str">
        <f t="shared" si="68"/>
        <v>Weekend</v>
      </c>
      <c r="E886" s="2">
        <v>6815</v>
      </c>
      <c r="F886" s="2">
        <v>4.5</v>
      </c>
      <c r="G886" s="2">
        <v>4.5</v>
      </c>
      <c r="H886" s="2">
        <v>0</v>
      </c>
      <c r="I886" s="2">
        <v>0</v>
      </c>
      <c r="J886" s="2">
        <v>0</v>
      </c>
      <c r="K886" s="2">
        <v>4.5</v>
      </c>
      <c r="L886" s="2">
        <v>0</v>
      </c>
      <c r="M886" s="2">
        <v>0</v>
      </c>
      <c r="N886" s="2">
        <v>0</v>
      </c>
      <c r="O886" s="2">
        <v>328</v>
      </c>
      <c r="P886" s="2">
        <v>745</v>
      </c>
      <c r="Q886" s="2">
        <f t="shared" si="72"/>
        <v>328</v>
      </c>
      <c r="R886" s="2">
        <f t="shared" si="70"/>
        <v>1073</v>
      </c>
      <c r="S886" t="str">
        <f t="shared" si="69"/>
        <v>Lightly Active</v>
      </c>
      <c r="T886" s="2">
        <v>1947</v>
      </c>
    </row>
    <row r="887" spans="1:20" x14ac:dyDescent="0.25">
      <c r="A887" s="2">
        <v>6962181067</v>
      </c>
      <c r="B887" s="3">
        <v>42498</v>
      </c>
      <c r="C887" t="str">
        <f t="shared" si="71"/>
        <v>Sunday</v>
      </c>
      <c r="D887" t="str">
        <f t="shared" si="68"/>
        <v>Weekend</v>
      </c>
      <c r="E887" s="2">
        <v>4188</v>
      </c>
      <c r="F887" s="2">
        <v>2.7699999809999998</v>
      </c>
      <c r="G887" s="2">
        <v>2.7699999809999998</v>
      </c>
      <c r="H887" s="2">
        <v>0</v>
      </c>
      <c r="I887" s="2">
        <v>0</v>
      </c>
      <c r="J887" s="2">
        <v>0.519999981</v>
      </c>
      <c r="K887" s="2">
        <v>2.25</v>
      </c>
      <c r="L887" s="2">
        <v>0</v>
      </c>
      <c r="M887" s="2">
        <v>0</v>
      </c>
      <c r="N887" s="2">
        <v>14</v>
      </c>
      <c r="O887" s="2">
        <v>151</v>
      </c>
      <c r="P887" s="2">
        <v>709</v>
      </c>
      <c r="Q887" s="2">
        <f t="shared" si="72"/>
        <v>165</v>
      </c>
      <c r="R887" s="2">
        <f t="shared" si="70"/>
        <v>874</v>
      </c>
      <c r="S887" t="str">
        <f t="shared" si="69"/>
        <v>Sedentary</v>
      </c>
      <c r="T887" s="2">
        <v>1659</v>
      </c>
    </row>
    <row r="888" spans="1:20" x14ac:dyDescent="0.25">
      <c r="A888" s="2">
        <v>6962181067</v>
      </c>
      <c r="B888" s="3">
        <v>42499</v>
      </c>
      <c r="C888" t="str">
        <f t="shared" si="71"/>
        <v>Monday</v>
      </c>
      <c r="D888" t="str">
        <f t="shared" si="68"/>
        <v>Weekday</v>
      </c>
      <c r="E888" s="2">
        <v>12342</v>
      </c>
      <c r="F888" s="2">
        <v>8.7200002669999996</v>
      </c>
      <c r="G888" s="2">
        <v>8.6800003050000001</v>
      </c>
      <c r="H888" s="2">
        <v>3.1678218839999999</v>
      </c>
      <c r="I888" s="2">
        <v>3.9000000950000002</v>
      </c>
      <c r="J888" s="2">
        <v>1.1799999480000001</v>
      </c>
      <c r="K888" s="2">
        <v>3.6500000950000002</v>
      </c>
      <c r="L888" s="2">
        <v>0</v>
      </c>
      <c r="M888" s="2">
        <v>43</v>
      </c>
      <c r="N888" s="2">
        <v>21</v>
      </c>
      <c r="O888" s="2">
        <v>231</v>
      </c>
      <c r="P888" s="2">
        <v>607</v>
      </c>
      <c r="Q888" s="2">
        <f t="shared" si="72"/>
        <v>295</v>
      </c>
      <c r="R888" s="2">
        <f t="shared" si="70"/>
        <v>902</v>
      </c>
      <c r="S888" t="str">
        <f t="shared" si="69"/>
        <v>Highly Active</v>
      </c>
      <c r="T888" s="2">
        <v>2105</v>
      </c>
    </row>
    <row r="889" spans="1:20" x14ac:dyDescent="0.25">
      <c r="A889" s="2">
        <v>6962181067</v>
      </c>
      <c r="B889" s="3">
        <v>42500</v>
      </c>
      <c r="C889" t="str">
        <f t="shared" si="71"/>
        <v>Tuesday</v>
      </c>
      <c r="D889" t="str">
        <f t="shared" si="68"/>
        <v>Weekday</v>
      </c>
      <c r="E889" s="2">
        <v>15448</v>
      </c>
      <c r="F889" s="2">
        <v>10.210000040000001</v>
      </c>
      <c r="G889" s="2">
        <v>10.210000040000001</v>
      </c>
      <c r="H889" s="2">
        <v>0</v>
      </c>
      <c r="I889" s="2">
        <v>3.4700000289999999</v>
      </c>
      <c r="J889" s="2">
        <v>1.75</v>
      </c>
      <c r="K889" s="2">
        <v>4.9899997709999999</v>
      </c>
      <c r="L889" s="2">
        <v>0</v>
      </c>
      <c r="M889" s="2">
        <v>62</v>
      </c>
      <c r="N889" s="2">
        <v>34</v>
      </c>
      <c r="O889" s="2">
        <v>275</v>
      </c>
      <c r="P889" s="2">
        <v>626</v>
      </c>
      <c r="Q889" s="2">
        <f t="shared" si="72"/>
        <v>371</v>
      </c>
      <c r="R889" s="2">
        <f t="shared" si="70"/>
        <v>997</v>
      </c>
      <c r="S889" t="str">
        <f t="shared" si="69"/>
        <v>Highly Active</v>
      </c>
      <c r="T889" s="2">
        <v>2361</v>
      </c>
    </row>
    <row r="890" spans="1:20" x14ac:dyDescent="0.25">
      <c r="A890" s="2">
        <v>6962181067</v>
      </c>
      <c r="B890" s="3">
        <v>42501</v>
      </c>
      <c r="C890" t="str">
        <f t="shared" si="71"/>
        <v>Wednesday</v>
      </c>
      <c r="D890" t="str">
        <f t="shared" si="68"/>
        <v>Weekday</v>
      </c>
      <c r="E890" s="2">
        <v>6722</v>
      </c>
      <c r="F890" s="2">
        <v>4.4400000569999998</v>
      </c>
      <c r="G890" s="2">
        <v>4.4400000569999998</v>
      </c>
      <c r="H890" s="2">
        <v>0</v>
      </c>
      <c r="I890" s="2">
        <v>1.4900000099999999</v>
      </c>
      <c r="J890" s="2">
        <v>0.310000002</v>
      </c>
      <c r="K890" s="2">
        <v>2.6500000950000002</v>
      </c>
      <c r="L890" s="2">
        <v>0</v>
      </c>
      <c r="M890" s="2">
        <v>24</v>
      </c>
      <c r="N890" s="2">
        <v>7</v>
      </c>
      <c r="O890" s="2">
        <v>199</v>
      </c>
      <c r="P890" s="2">
        <v>709</v>
      </c>
      <c r="Q890" s="2">
        <f t="shared" si="72"/>
        <v>230</v>
      </c>
      <c r="R890" s="2">
        <f t="shared" si="70"/>
        <v>939</v>
      </c>
      <c r="S890" t="str">
        <f t="shared" si="69"/>
        <v>Lightly Active</v>
      </c>
      <c r="T890" s="2">
        <v>1855</v>
      </c>
    </row>
    <row r="891" spans="1:20" x14ac:dyDescent="0.25">
      <c r="A891" s="2">
        <v>7007744171</v>
      </c>
      <c r="B891" s="3">
        <v>42461</v>
      </c>
      <c r="C891" t="str">
        <f t="shared" si="71"/>
        <v>Friday</v>
      </c>
      <c r="D891" t="str">
        <f t="shared" si="68"/>
        <v>Weekday</v>
      </c>
      <c r="E891" s="2">
        <v>11680</v>
      </c>
      <c r="F891" s="2">
        <v>9.0600004199999997</v>
      </c>
      <c r="G891" s="2">
        <v>7.8099999430000002</v>
      </c>
      <c r="H891" s="2">
        <v>4.9012827870000004</v>
      </c>
      <c r="I891" s="2">
        <v>4.4899997709999999</v>
      </c>
      <c r="J891" s="2">
        <v>0.33000001299999998</v>
      </c>
      <c r="K891" s="2">
        <v>4.2399997709999999</v>
      </c>
      <c r="L891" s="2">
        <v>0</v>
      </c>
      <c r="M891" s="2">
        <v>50</v>
      </c>
      <c r="N891" s="2">
        <v>7</v>
      </c>
      <c r="O891" s="2">
        <v>244</v>
      </c>
      <c r="P891" s="2">
        <v>1139</v>
      </c>
      <c r="Q891" s="2">
        <f t="shared" si="72"/>
        <v>301</v>
      </c>
      <c r="R891" s="2">
        <f t="shared" si="70"/>
        <v>1440</v>
      </c>
      <c r="S891" t="str">
        <f t="shared" si="69"/>
        <v>Highly Active</v>
      </c>
      <c r="T891" s="2">
        <v>2573</v>
      </c>
    </row>
    <row r="892" spans="1:20" x14ac:dyDescent="0.25">
      <c r="A892" s="2">
        <v>7007744171</v>
      </c>
      <c r="B892" s="3">
        <v>42462</v>
      </c>
      <c r="C892" t="str">
        <f t="shared" si="71"/>
        <v>Saturday</v>
      </c>
      <c r="D892" t="str">
        <f t="shared" si="68"/>
        <v>Weekend</v>
      </c>
      <c r="E892" s="2">
        <v>10976</v>
      </c>
      <c r="F892" s="2">
        <v>7.3400001530000001</v>
      </c>
      <c r="G892" s="2">
        <v>7.3400001530000001</v>
      </c>
      <c r="H892" s="2">
        <v>0</v>
      </c>
      <c r="I892" s="2">
        <v>0.55000001200000004</v>
      </c>
      <c r="J892" s="2">
        <v>0.670000017</v>
      </c>
      <c r="K892" s="2">
        <v>6.1300001139999996</v>
      </c>
      <c r="L892" s="2">
        <v>0</v>
      </c>
      <c r="M892" s="2">
        <v>9</v>
      </c>
      <c r="N892" s="2">
        <v>16</v>
      </c>
      <c r="O892" s="2">
        <v>271</v>
      </c>
      <c r="P892" s="2">
        <v>1075</v>
      </c>
      <c r="Q892" s="2">
        <f t="shared" si="72"/>
        <v>296</v>
      </c>
      <c r="R892" s="2">
        <f t="shared" si="70"/>
        <v>1371</v>
      </c>
      <c r="S892" t="str">
        <f t="shared" si="69"/>
        <v>Highly Active</v>
      </c>
      <c r="T892" s="2">
        <v>2575</v>
      </c>
    </row>
    <row r="893" spans="1:20" x14ac:dyDescent="0.25">
      <c r="A893" s="2">
        <v>7007744171</v>
      </c>
      <c r="B893" s="3">
        <v>42463</v>
      </c>
      <c r="C893" t="str">
        <f t="shared" si="71"/>
        <v>Sunday</v>
      </c>
      <c r="D893" t="str">
        <f t="shared" si="68"/>
        <v>Weekend</v>
      </c>
      <c r="E893" s="2">
        <v>16806</v>
      </c>
      <c r="F893" s="2">
        <v>11.239999770000001</v>
      </c>
      <c r="G893" s="2">
        <v>11.239999770000001</v>
      </c>
      <c r="H893" s="2">
        <v>0</v>
      </c>
      <c r="I893" s="2">
        <v>6.4099998469999999</v>
      </c>
      <c r="J893" s="2">
        <v>1.3700000050000001</v>
      </c>
      <c r="K893" s="2">
        <v>3.4700000289999999</v>
      </c>
      <c r="L893" s="2">
        <v>0</v>
      </c>
      <c r="M893" s="2">
        <v>104</v>
      </c>
      <c r="N893" s="2">
        <v>31</v>
      </c>
      <c r="O893" s="2">
        <v>230</v>
      </c>
      <c r="P893" s="2">
        <v>1002</v>
      </c>
      <c r="Q893" s="2">
        <f t="shared" si="72"/>
        <v>365</v>
      </c>
      <c r="R893" s="2">
        <f t="shared" si="70"/>
        <v>1367</v>
      </c>
      <c r="S893" t="str">
        <f t="shared" si="69"/>
        <v>Highly Active</v>
      </c>
      <c r="T893" s="2">
        <v>3086</v>
      </c>
    </row>
    <row r="894" spans="1:20" x14ac:dyDescent="0.25">
      <c r="A894" s="2">
        <v>7007744171</v>
      </c>
      <c r="B894" s="3">
        <v>42464</v>
      </c>
      <c r="C894" t="str">
        <f t="shared" si="71"/>
        <v>Monday</v>
      </c>
      <c r="D894" t="str">
        <f t="shared" si="68"/>
        <v>Weekday</v>
      </c>
      <c r="E894" s="2">
        <v>15266</v>
      </c>
      <c r="F894" s="2">
        <v>11.399999619999999</v>
      </c>
      <c r="G894" s="2">
        <v>10.210000040000001</v>
      </c>
      <c r="H894" s="2">
        <v>5.1898498540000002</v>
      </c>
      <c r="I894" s="2">
        <v>5.8000001909999996</v>
      </c>
      <c r="J894" s="2">
        <v>0.75999998999999996</v>
      </c>
      <c r="K894" s="2">
        <v>4.7899999619999996</v>
      </c>
      <c r="L894" s="2">
        <v>5.0000001000000002E-2</v>
      </c>
      <c r="M894" s="2">
        <v>70</v>
      </c>
      <c r="N894" s="2">
        <v>21</v>
      </c>
      <c r="O894" s="2">
        <v>292</v>
      </c>
      <c r="P894" s="2">
        <v>1057</v>
      </c>
      <c r="Q894" s="2">
        <f t="shared" si="72"/>
        <v>383</v>
      </c>
      <c r="R894" s="2">
        <f t="shared" si="70"/>
        <v>1440</v>
      </c>
      <c r="S894" t="str">
        <f t="shared" si="69"/>
        <v>Highly Active</v>
      </c>
      <c r="T894" s="2">
        <v>2886</v>
      </c>
    </row>
    <row r="895" spans="1:20" x14ac:dyDescent="0.25">
      <c r="A895" s="2">
        <v>7007744171</v>
      </c>
      <c r="B895" s="3">
        <v>42465</v>
      </c>
      <c r="C895" t="str">
        <f t="shared" si="71"/>
        <v>Tuesday</v>
      </c>
      <c r="D895" t="str">
        <f t="shared" si="68"/>
        <v>Weekday</v>
      </c>
      <c r="E895" s="2">
        <v>12084</v>
      </c>
      <c r="F895" s="2">
        <v>9.1400003430000005</v>
      </c>
      <c r="G895" s="2">
        <v>8.0799999239999991</v>
      </c>
      <c r="H895" s="2">
        <v>4.8363800049999996</v>
      </c>
      <c r="I895" s="2">
        <v>4.3899998660000001</v>
      </c>
      <c r="J895" s="2">
        <v>0.46000000800000002</v>
      </c>
      <c r="K895" s="2">
        <v>4.2899999619999996</v>
      </c>
      <c r="L895" s="2">
        <v>0</v>
      </c>
      <c r="M895" s="2">
        <v>50</v>
      </c>
      <c r="N895" s="2">
        <v>6</v>
      </c>
      <c r="O895" s="2">
        <v>284</v>
      </c>
      <c r="P895" s="2">
        <v>1030</v>
      </c>
      <c r="Q895" s="2">
        <f t="shared" si="72"/>
        <v>340</v>
      </c>
      <c r="R895" s="2">
        <f t="shared" si="70"/>
        <v>1370</v>
      </c>
      <c r="S895" t="str">
        <f t="shared" si="69"/>
        <v>Highly Active</v>
      </c>
      <c r="T895" s="2">
        <v>2676</v>
      </c>
    </row>
    <row r="896" spans="1:20" x14ac:dyDescent="0.25">
      <c r="A896" s="2">
        <v>7007744171</v>
      </c>
      <c r="B896" s="3">
        <v>42466</v>
      </c>
      <c r="C896" t="str">
        <f t="shared" si="71"/>
        <v>Wednesday</v>
      </c>
      <c r="D896" t="str">
        <f t="shared" si="68"/>
        <v>Weekday</v>
      </c>
      <c r="E896" s="2">
        <v>13513</v>
      </c>
      <c r="F896" s="2">
        <v>10.25</v>
      </c>
      <c r="G896" s="2">
        <v>9.0699996949999999</v>
      </c>
      <c r="H896" s="2">
        <v>4.835720062</v>
      </c>
      <c r="I896" s="2">
        <v>5.3499999049999998</v>
      </c>
      <c r="J896" s="2">
        <v>0.33000001299999998</v>
      </c>
      <c r="K896" s="2">
        <v>4.5599999430000002</v>
      </c>
      <c r="L896" s="2">
        <v>0</v>
      </c>
      <c r="M896" s="2">
        <v>64</v>
      </c>
      <c r="N896" s="2">
        <v>8</v>
      </c>
      <c r="O896" s="2">
        <v>270</v>
      </c>
      <c r="P896" s="2">
        <v>1098</v>
      </c>
      <c r="Q896" s="2">
        <f t="shared" si="72"/>
        <v>342</v>
      </c>
      <c r="R896" s="2">
        <f t="shared" si="70"/>
        <v>1440</v>
      </c>
      <c r="S896" t="str">
        <f t="shared" si="69"/>
        <v>Highly Active</v>
      </c>
      <c r="T896" s="2">
        <v>2811</v>
      </c>
    </row>
    <row r="897" spans="1:20" x14ac:dyDescent="0.25">
      <c r="A897" s="2">
        <v>7007744171</v>
      </c>
      <c r="B897" s="3">
        <v>42467</v>
      </c>
      <c r="C897" t="str">
        <f t="shared" si="71"/>
        <v>Thursday</v>
      </c>
      <c r="D897" t="str">
        <f t="shared" si="68"/>
        <v>Weekday</v>
      </c>
      <c r="E897" s="2">
        <v>14100</v>
      </c>
      <c r="F897" s="2">
        <v>10.579999920000001</v>
      </c>
      <c r="G897" s="2">
        <v>9.4300003050000001</v>
      </c>
      <c r="H897" s="2">
        <v>4.8759899139999998</v>
      </c>
      <c r="I897" s="2">
        <v>5.0999999049999998</v>
      </c>
      <c r="J897" s="2">
        <v>1.190000057</v>
      </c>
      <c r="K897" s="2">
        <v>4.2800002099999999</v>
      </c>
      <c r="L897" s="2">
        <v>0</v>
      </c>
      <c r="M897" s="2">
        <v>61</v>
      </c>
      <c r="N897" s="2">
        <v>33</v>
      </c>
      <c r="O897" s="2">
        <v>265</v>
      </c>
      <c r="P897" s="2">
        <v>1015</v>
      </c>
      <c r="Q897" s="2">
        <f t="shared" si="72"/>
        <v>359</v>
      </c>
      <c r="R897" s="2">
        <f t="shared" si="70"/>
        <v>1374</v>
      </c>
      <c r="S897" t="str">
        <f t="shared" si="69"/>
        <v>Highly Active</v>
      </c>
      <c r="T897" s="2">
        <v>2840</v>
      </c>
    </row>
    <row r="898" spans="1:20" x14ac:dyDescent="0.25">
      <c r="A898" s="2">
        <v>7007744171</v>
      </c>
      <c r="B898" s="3">
        <v>42468</v>
      </c>
      <c r="C898" t="str">
        <f t="shared" si="71"/>
        <v>Friday</v>
      </c>
      <c r="D898" t="str">
        <f t="shared" si="68"/>
        <v>Weekday</v>
      </c>
      <c r="E898" s="2">
        <v>12627</v>
      </c>
      <c r="F898" s="2">
        <v>9.6499996190000008</v>
      </c>
      <c r="G898" s="2">
        <v>8.4499998089999995</v>
      </c>
      <c r="H898" s="2">
        <v>4.8423199649999997</v>
      </c>
      <c r="I898" s="2">
        <v>4.6999998090000004</v>
      </c>
      <c r="J898" s="2">
        <v>0.74000001000000004</v>
      </c>
      <c r="K898" s="2">
        <v>4.2100000380000004</v>
      </c>
      <c r="L898" s="2">
        <v>0</v>
      </c>
      <c r="M898" s="2">
        <v>54</v>
      </c>
      <c r="N898" s="2">
        <v>22</v>
      </c>
      <c r="O898" s="2">
        <v>301</v>
      </c>
      <c r="P898" s="2">
        <v>1063</v>
      </c>
      <c r="Q898" s="2">
        <f t="shared" si="72"/>
        <v>377</v>
      </c>
      <c r="R898" s="2">
        <f t="shared" si="70"/>
        <v>1440</v>
      </c>
      <c r="S898" t="str">
        <f t="shared" si="69"/>
        <v>Highly Active</v>
      </c>
      <c r="T898" s="2">
        <v>2871</v>
      </c>
    </row>
    <row r="899" spans="1:20" x14ac:dyDescent="0.25">
      <c r="A899" s="2">
        <v>7007744171</v>
      </c>
      <c r="B899" s="3">
        <v>42469</v>
      </c>
      <c r="C899" t="str">
        <f t="shared" si="71"/>
        <v>Saturday</v>
      </c>
      <c r="D899" t="str">
        <f t="shared" ref="D899:D962" si="73">IF(OR(C899="Saturday", C899="Sunday"), "Weekend", "Weekday")</f>
        <v>Weekend</v>
      </c>
      <c r="E899" s="2">
        <v>10345</v>
      </c>
      <c r="F899" s="2">
        <v>6.920000076</v>
      </c>
      <c r="G899" s="2">
        <v>6.920000076</v>
      </c>
      <c r="H899" s="2">
        <v>0</v>
      </c>
      <c r="I899" s="2">
        <v>7.0000000000000007E-2</v>
      </c>
      <c r="J899" s="2">
        <v>0.27000001099999998</v>
      </c>
      <c r="K899" s="2">
        <v>6.579999924</v>
      </c>
      <c r="L899" s="2">
        <v>0</v>
      </c>
      <c r="M899" s="2">
        <v>2</v>
      </c>
      <c r="N899" s="2">
        <v>6</v>
      </c>
      <c r="O899" s="2">
        <v>358</v>
      </c>
      <c r="P899" s="2">
        <v>1074</v>
      </c>
      <c r="Q899" s="2">
        <f t="shared" si="72"/>
        <v>366</v>
      </c>
      <c r="R899" s="2">
        <f t="shared" si="70"/>
        <v>1440</v>
      </c>
      <c r="S899" t="str">
        <f t="shared" ref="S899:S962" si="74">IF(E899&lt;5000, "Sedentary", IF(E899&lt;7500, "Lightly Active", IF(E899&lt;10000, "Fairly Active", "Highly Active")))</f>
        <v>Highly Active</v>
      </c>
      <c r="T899" s="2">
        <v>2613</v>
      </c>
    </row>
    <row r="900" spans="1:20" x14ac:dyDescent="0.25">
      <c r="A900" s="2">
        <v>7007744171</v>
      </c>
      <c r="B900" s="3">
        <v>42470</v>
      </c>
      <c r="C900" t="str">
        <f t="shared" si="71"/>
        <v>Sunday</v>
      </c>
      <c r="D900" t="str">
        <f t="shared" si="73"/>
        <v>Weekend</v>
      </c>
      <c r="E900" s="2">
        <v>10146</v>
      </c>
      <c r="F900" s="2">
        <v>6.7899999619999996</v>
      </c>
      <c r="G900" s="2">
        <v>6.7899999619999996</v>
      </c>
      <c r="H900" s="2">
        <v>0</v>
      </c>
      <c r="I900" s="2">
        <v>7.0000000000000007E-2</v>
      </c>
      <c r="J900" s="2">
        <v>0.61000001400000003</v>
      </c>
      <c r="K900" s="2">
        <v>6.1100001339999999</v>
      </c>
      <c r="L900" s="2">
        <v>0</v>
      </c>
      <c r="M900" s="2">
        <v>1</v>
      </c>
      <c r="N900" s="2">
        <v>12</v>
      </c>
      <c r="O900" s="2">
        <v>397</v>
      </c>
      <c r="P900" s="2">
        <v>1030</v>
      </c>
      <c r="Q900" s="2">
        <f t="shared" si="72"/>
        <v>410</v>
      </c>
      <c r="R900" s="2">
        <f t="shared" si="70"/>
        <v>1440</v>
      </c>
      <c r="S900" t="str">
        <f t="shared" si="74"/>
        <v>Highly Active</v>
      </c>
      <c r="T900" s="2">
        <v>2700</v>
      </c>
    </row>
    <row r="901" spans="1:20" x14ac:dyDescent="0.25">
      <c r="A901" s="2">
        <v>7007744171</v>
      </c>
      <c r="B901" s="3">
        <v>42471</v>
      </c>
      <c r="C901" t="str">
        <f t="shared" si="71"/>
        <v>Monday</v>
      </c>
      <c r="D901" t="str">
        <f t="shared" si="73"/>
        <v>Weekday</v>
      </c>
      <c r="E901" s="2">
        <v>12168</v>
      </c>
      <c r="F901" s="2">
        <v>8.1400003430000005</v>
      </c>
      <c r="G901" s="2">
        <v>8.1400003430000005</v>
      </c>
      <c r="H901" s="2">
        <v>0</v>
      </c>
      <c r="I901" s="2">
        <v>1.0499999520000001</v>
      </c>
      <c r="J901" s="2">
        <v>0.790000021</v>
      </c>
      <c r="K901" s="2">
        <v>6.2899999619999996</v>
      </c>
      <c r="L901" s="2">
        <v>0</v>
      </c>
      <c r="M901" s="2">
        <v>18</v>
      </c>
      <c r="N901" s="2">
        <v>27</v>
      </c>
      <c r="O901" s="2">
        <v>375</v>
      </c>
      <c r="P901" s="2">
        <v>1020</v>
      </c>
      <c r="Q901" s="2">
        <f t="shared" si="72"/>
        <v>420</v>
      </c>
      <c r="R901" s="2">
        <f t="shared" si="70"/>
        <v>1440</v>
      </c>
      <c r="S901" t="str">
        <f t="shared" si="74"/>
        <v>Highly Active</v>
      </c>
      <c r="T901" s="2">
        <v>2871</v>
      </c>
    </row>
    <row r="902" spans="1:20" x14ac:dyDescent="0.25">
      <c r="A902" s="2">
        <v>7007744171</v>
      </c>
      <c r="B902" s="3">
        <v>42473</v>
      </c>
      <c r="C902" t="str">
        <f t="shared" si="71"/>
        <v>Wednesday</v>
      </c>
      <c r="D902" t="str">
        <f t="shared" si="73"/>
        <v>Weekday</v>
      </c>
      <c r="E902" s="2">
        <v>12862</v>
      </c>
      <c r="F902" s="2">
        <v>9.6499996190000008</v>
      </c>
      <c r="G902" s="2">
        <v>8.6000003809999992</v>
      </c>
      <c r="H902" s="2">
        <v>4.8513069150000003</v>
      </c>
      <c r="I902" s="2">
        <v>4.6100001339999999</v>
      </c>
      <c r="J902" s="2">
        <v>0.560000002</v>
      </c>
      <c r="K902" s="2">
        <v>4.4800000190000002</v>
      </c>
      <c r="L902" s="2">
        <v>0</v>
      </c>
      <c r="M902" s="2">
        <v>56</v>
      </c>
      <c r="N902" s="2">
        <v>22</v>
      </c>
      <c r="O902" s="2">
        <v>261</v>
      </c>
      <c r="P902" s="2">
        <v>1101</v>
      </c>
      <c r="Q902" s="2">
        <f t="shared" si="72"/>
        <v>339</v>
      </c>
      <c r="R902" s="2">
        <f t="shared" si="70"/>
        <v>1440</v>
      </c>
      <c r="S902" t="str">
        <f t="shared" si="74"/>
        <v>Highly Active</v>
      </c>
      <c r="T902" s="2">
        <v>2742</v>
      </c>
    </row>
    <row r="903" spans="1:20" x14ac:dyDescent="0.25">
      <c r="A903" s="2">
        <v>7007744171</v>
      </c>
      <c r="B903" s="3">
        <v>42474</v>
      </c>
      <c r="C903" t="str">
        <f t="shared" si="71"/>
        <v>Thursday</v>
      </c>
      <c r="D903" t="str">
        <f t="shared" si="73"/>
        <v>Weekday</v>
      </c>
      <c r="E903" s="2">
        <v>11179</v>
      </c>
      <c r="F903" s="2">
        <v>8.2399997710000008</v>
      </c>
      <c r="G903" s="2">
        <v>7.4800000190000002</v>
      </c>
      <c r="H903" s="2">
        <v>3.2854149339999998</v>
      </c>
      <c r="I903" s="2">
        <v>2.9500000480000002</v>
      </c>
      <c r="J903" s="2">
        <v>0.34000000400000002</v>
      </c>
      <c r="K903" s="2">
        <v>4.9600000380000004</v>
      </c>
      <c r="L903" s="2">
        <v>0</v>
      </c>
      <c r="M903" s="2">
        <v>34</v>
      </c>
      <c r="N903" s="2">
        <v>6</v>
      </c>
      <c r="O903" s="2">
        <v>304</v>
      </c>
      <c r="P903" s="2">
        <v>1096</v>
      </c>
      <c r="Q903" s="2">
        <f t="shared" si="72"/>
        <v>344</v>
      </c>
      <c r="R903" s="2">
        <f t="shared" si="70"/>
        <v>1440</v>
      </c>
      <c r="S903" t="str">
        <f t="shared" si="74"/>
        <v>Highly Active</v>
      </c>
      <c r="T903" s="2">
        <v>2668</v>
      </c>
    </row>
    <row r="904" spans="1:20" x14ac:dyDescent="0.25">
      <c r="A904" s="2">
        <v>7007744171</v>
      </c>
      <c r="B904" s="3">
        <v>42475</v>
      </c>
      <c r="C904" t="str">
        <f t="shared" si="71"/>
        <v>Friday</v>
      </c>
      <c r="D904" t="str">
        <f t="shared" si="73"/>
        <v>Weekday</v>
      </c>
      <c r="E904" s="2">
        <v>5273</v>
      </c>
      <c r="F904" s="2">
        <v>3.5299999710000001</v>
      </c>
      <c r="G904" s="2">
        <v>3.5299999710000001</v>
      </c>
      <c r="H904" s="2">
        <v>0</v>
      </c>
      <c r="I904" s="2">
        <v>0</v>
      </c>
      <c r="J904" s="2">
        <v>0</v>
      </c>
      <c r="K904" s="2">
        <v>3.5299999710000001</v>
      </c>
      <c r="L904" s="2">
        <v>0</v>
      </c>
      <c r="M904" s="2">
        <v>0</v>
      </c>
      <c r="N904" s="2">
        <v>0</v>
      </c>
      <c r="O904" s="2">
        <v>202</v>
      </c>
      <c r="P904" s="2">
        <v>1238</v>
      </c>
      <c r="Q904" s="2">
        <f t="shared" si="72"/>
        <v>202</v>
      </c>
      <c r="R904" s="2">
        <f t="shared" si="70"/>
        <v>1440</v>
      </c>
      <c r="S904" t="str">
        <f t="shared" si="74"/>
        <v>Lightly Active</v>
      </c>
      <c r="T904" s="2">
        <v>2098</v>
      </c>
    </row>
    <row r="905" spans="1:20" x14ac:dyDescent="0.25">
      <c r="A905" s="2">
        <v>7007744171</v>
      </c>
      <c r="B905" s="3">
        <v>42476</v>
      </c>
      <c r="C905" t="str">
        <f t="shared" si="71"/>
        <v>Saturday</v>
      </c>
      <c r="D905" t="str">
        <f t="shared" si="73"/>
        <v>Weekend</v>
      </c>
      <c r="E905" s="2">
        <v>4631</v>
      </c>
      <c r="F905" s="2">
        <v>3.0999999049999998</v>
      </c>
      <c r="G905" s="2">
        <v>3.0999999049999998</v>
      </c>
      <c r="H905" s="2">
        <v>0</v>
      </c>
      <c r="I905" s="2">
        <v>0</v>
      </c>
      <c r="J905" s="2">
        <v>0</v>
      </c>
      <c r="K905" s="2">
        <v>3.0999999049999998</v>
      </c>
      <c r="L905" s="2">
        <v>0</v>
      </c>
      <c r="M905" s="2">
        <v>0</v>
      </c>
      <c r="N905" s="2">
        <v>0</v>
      </c>
      <c r="O905" s="2">
        <v>203</v>
      </c>
      <c r="P905" s="2">
        <v>1155</v>
      </c>
      <c r="Q905" s="2">
        <f t="shared" si="72"/>
        <v>203</v>
      </c>
      <c r="R905" s="2">
        <f t="shared" si="70"/>
        <v>1358</v>
      </c>
      <c r="S905" t="str">
        <f t="shared" si="74"/>
        <v>Sedentary</v>
      </c>
      <c r="T905" s="2">
        <v>2076</v>
      </c>
    </row>
    <row r="906" spans="1:20" x14ac:dyDescent="0.25">
      <c r="A906" s="2">
        <v>7007744171</v>
      </c>
      <c r="B906" s="3">
        <v>42477</v>
      </c>
      <c r="C906" t="str">
        <f t="shared" si="71"/>
        <v>Sunday</v>
      </c>
      <c r="D906" t="str">
        <f t="shared" si="73"/>
        <v>Weekend</v>
      </c>
      <c r="E906" s="2">
        <v>8059</v>
      </c>
      <c r="F906" s="2">
        <v>5.3899998660000001</v>
      </c>
      <c r="G906" s="2">
        <v>5.3899998660000001</v>
      </c>
      <c r="H906" s="2">
        <v>0</v>
      </c>
      <c r="I906" s="2">
        <v>0</v>
      </c>
      <c r="J906" s="2">
        <v>0</v>
      </c>
      <c r="K906" s="2">
        <v>5.3899998660000001</v>
      </c>
      <c r="L906" s="2">
        <v>0</v>
      </c>
      <c r="M906" s="2">
        <v>0</v>
      </c>
      <c r="N906" s="2">
        <v>0</v>
      </c>
      <c r="O906" s="2">
        <v>305</v>
      </c>
      <c r="P906" s="2">
        <v>1135</v>
      </c>
      <c r="Q906" s="2">
        <f t="shared" si="72"/>
        <v>305</v>
      </c>
      <c r="R906" s="2">
        <f t="shared" si="70"/>
        <v>1440</v>
      </c>
      <c r="S906" t="str">
        <f t="shared" si="74"/>
        <v>Fairly Active</v>
      </c>
      <c r="T906" s="2">
        <v>2383</v>
      </c>
    </row>
    <row r="907" spans="1:20" x14ac:dyDescent="0.25">
      <c r="A907" s="2">
        <v>7007744171</v>
      </c>
      <c r="B907" s="3">
        <v>42478</v>
      </c>
      <c r="C907" t="str">
        <f t="shared" si="71"/>
        <v>Monday</v>
      </c>
      <c r="D907" t="str">
        <f t="shared" si="73"/>
        <v>Weekday</v>
      </c>
      <c r="E907" s="2">
        <v>14816</v>
      </c>
      <c r="F907" s="2">
        <v>10.97999954</v>
      </c>
      <c r="G907" s="2">
        <v>9.9099998469999999</v>
      </c>
      <c r="H907" s="2">
        <v>4.9305500980000003</v>
      </c>
      <c r="I907" s="2">
        <v>3.789999962</v>
      </c>
      <c r="J907" s="2">
        <v>2.119999886</v>
      </c>
      <c r="K907" s="2">
        <v>5.0500001909999996</v>
      </c>
      <c r="L907" s="2">
        <v>0.02</v>
      </c>
      <c r="M907" s="2">
        <v>48</v>
      </c>
      <c r="N907" s="2">
        <v>31</v>
      </c>
      <c r="O907" s="2">
        <v>284</v>
      </c>
      <c r="P907" s="2">
        <v>1077</v>
      </c>
      <c r="Q907" s="2">
        <f t="shared" si="72"/>
        <v>363</v>
      </c>
      <c r="R907" s="2">
        <f t="shared" si="70"/>
        <v>1440</v>
      </c>
      <c r="S907" t="str">
        <f t="shared" si="74"/>
        <v>Highly Active</v>
      </c>
      <c r="T907" s="2">
        <v>2832</v>
      </c>
    </row>
    <row r="908" spans="1:20" x14ac:dyDescent="0.25">
      <c r="A908" s="2">
        <v>7007744171</v>
      </c>
      <c r="B908" s="3">
        <v>42479</v>
      </c>
      <c r="C908" t="str">
        <f t="shared" si="71"/>
        <v>Tuesday</v>
      </c>
      <c r="D908" t="str">
        <f t="shared" si="73"/>
        <v>Weekday</v>
      </c>
      <c r="E908" s="2">
        <v>14194</v>
      </c>
      <c r="F908" s="2">
        <v>10.47999954</v>
      </c>
      <c r="G908" s="2">
        <v>9.5</v>
      </c>
      <c r="H908" s="2">
        <v>4.9421420100000004</v>
      </c>
      <c r="I908" s="2">
        <v>4.4099998469999999</v>
      </c>
      <c r="J908" s="2">
        <v>0.75999998999999996</v>
      </c>
      <c r="K908" s="2">
        <v>5.3099999430000002</v>
      </c>
      <c r="L908" s="2">
        <v>0</v>
      </c>
      <c r="M908" s="2">
        <v>53</v>
      </c>
      <c r="N908" s="2">
        <v>17</v>
      </c>
      <c r="O908" s="2">
        <v>304</v>
      </c>
      <c r="P908" s="2">
        <v>1066</v>
      </c>
      <c r="Q908" s="2">
        <f t="shared" si="72"/>
        <v>374</v>
      </c>
      <c r="R908" s="2">
        <f t="shared" si="70"/>
        <v>1440</v>
      </c>
      <c r="S908" t="str">
        <f t="shared" si="74"/>
        <v>Highly Active</v>
      </c>
      <c r="T908" s="2">
        <v>2812</v>
      </c>
    </row>
    <row r="909" spans="1:20" x14ac:dyDescent="0.25">
      <c r="A909" s="2">
        <v>7007744171</v>
      </c>
      <c r="B909" s="3">
        <v>42480</v>
      </c>
      <c r="C909" t="str">
        <f t="shared" si="71"/>
        <v>Wednesday</v>
      </c>
      <c r="D909" t="str">
        <f t="shared" si="73"/>
        <v>Weekday</v>
      </c>
      <c r="E909" s="2">
        <v>15566</v>
      </c>
      <c r="F909" s="2">
        <v>11.31000042</v>
      </c>
      <c r="G909" s="2">
        <v>10.40999985</v>
      </c>
      <c r="H909" s="2">
        <v>4.924840927</v>
      </c>
      <c r="I909" s="2">
        <v>4.7899999619999996</v>
      </c>
      <c r="J909" s="2">
        <v>0.670000017</v>
      </c>
      <c r="K909" s="2">
        <v>5.8600001339999999</v>
      </c>
      <c r="L909" s="2">
        <v>0</v>
      </c>
      <c r="M909" s="2">
        <v>60</v>
      </c>
      <c r="N909" s="2">
        <v>33</v>
      </c>
      <c r="O909" s="2">
        <v>347</v>
      </c>
      <c r="P909" s="2">
        <v>1000</v>
      </c>
      <c r="Q909" s="2">
        <f t="shared" si="72"/>
        <v>440</v>
      </c>
      <c r="R909" s="2">
        <f t="shared" si="70"/>
        <v>1440</v>
      </c>
      <c r="S909" t="str">
        <f t="shared" si="74"/>
        <v>Highly Active</v>
      </c>
      <c r="T909" s="2">
        <v>3096</v>
      </c>
    </row>
    <row r="910" spans="1:20" x14ac:dyDescent="0.25">
      <c r="A910" s="2">
        <v>7007744171</v>
      </c>
      <c r="B910" s="3">
        <v>42481</v>
      </c>
      <c r="C910" t="str">
        <f t="shared" si="71"/>
        <v>Thursday</v>
      </c>
      <c r="D910" t="str">
        <f t="shared" si="73"/>
        <v>Weekday</v>
      </c>
      <c r="E910" s="2">
        <v>13744</v>
      </c>
      <c r="F910" s="2">
        <v>9.1899995800000003</v>
      </c>
      <c r="G910" s="2">
        <v>9.1899995800000003</v>
      </c>
      <c r="H910" s="2">
        <v>0</v>
      </c>
      <c r="I910" s="2">
        <v>2.1500000950000002</v>
      </c>
      <c r="J910" s="2">
        <v>1.8700000050000001</v>
      </c>
      <c r="K910" s="2">
        <v>5.170000076</v>
      </c>
      <c r="L910" s="2">
        <v>0</v>
      </c>
      <c r="M910" s="2">
        <v>30</v>
      </c>
      <c r="N910" s="2">
        <v>34</v>
      </c>
      <c r="O910" s="2">
        <v>327</v>
      </c>
      <c r="P910" s="2">
        <v>1049</v>
      </c>
      <c r="Q910" s="2">
        <f t="shared" si="72"/>
        <v>391</v>
      </c>
      <c r="R910" s="2">
        <f t="shared" si="70"/>
        <v>1440</v>
      </c>
      <c r="S910" t="str">
        <f t="shared" si="74"/>
        <v>Highly Active</v>
      </c>
      <c r="T910" s="2">
        <v>2763</v>
      </c>
    </row>
    <row r="911" spans="1:20" x14ac:dyDescent="0.25">
      <c r="A911" s="2">
        <v>7007744171</v>
      </c>
      <c r="B911" s="3">
        <v>42482</v>
      </c>
      <c r="C911" t="str">
        <f t="shared" si="71"/>
        <v>Friday</v>
      </c>
      <c r="D911" t="str">
        <f t="shared" si="73"/>
        <v>Weekday</v>
      </c>
      <c r="E911" s="2">
        <v>15299</v>
      </c>
      <c r="F911" s="2">
        <v>10.239999770000001</v>
      </c>
      <c r="G911" s="2">
        <v>10.239999770000001</v>
      </c>
      <c r="H911" s="2">
        <v>0</v>
      </c>
      <c r="I911" s="2">
        <v>4.0999999049999998</v>
      </c>
      <c r="J911" s="2">
        <v>1.7599999900000001</v>
      </c>
      <c r="K911" s="2">
        <v>4.3699998860000004</v>
      </c>
      <c r="L911" s="2">
        <v>0</v>
      </c>
      <c r="M911" s="2">
        <v>64</v>
      </c>
      <c r="N911" s="2">
        <v>50</v>
      </c>
      <c r="O911" s="2">
        <v>261</v>
      </c>
      <c r="P911" s="2">
        <v>1065</v>
      </c>
      <c r="Q911" s="2">
        <f t="shared" si="72"/>
        <v>375</v>
      </c>
      <c r="R911" s="2">
        <f t="shared" si="70"/>
        <v>1440</v>
      </c>
      <c r="S911" t="str">
        <f t="shared" si="74"/>
        <v>Highly Active</v>
      </c>
      <c r="T911" s="2">
        <v>2889</v>
      </c>
    </row>
    <row r="912" spans="1:20" x14ac:dyDescent="0.25">
      <c r="A912" s="2">
        <v>7007744171</v>
      </c>
      <c r="B912" s="3">
        <v>42483</v>
      </c>
      <c r="C912" t="str">
        <f t="shared" si="71"/>
        <v>Saturday</v>
      </c>
      <c r="D912" t="str">
        <f t="shared" si="73"/>
        <v>Weekend</v>
      </c>
      <c r="E912" s="2">
        <v>8093</v>
      </c>
      <c r="F912" s="2">
        <v>5.4099998469999999</v>
      </c>
      <c r="G912" s="2">
        <v>5.4099998469999999</v>
      </c>
      <c r="H912" s="2">
        <v>0</v>
      </c>
      <c r="I912" s="2">
        <v>0.12999999500000001</v>
      </c>
      <c r="J912" s="2">
        <v>1.1299999949999999</v>
      </c>
      <c r="K912" s="2">
        <v>4.1500000950000002</v>
      </c>
      <c r="L912" s="2">
        <v>0</v>
      </c>
      <c r="M912" s="2">
        <v>2</v>
      </c>
      <c r="N912" s="2">
        <v>25</v>
      </c>
      <c r="O912" s="2">
        <v>223</v>
      </c>
      <c r="P912" s="2">
        <v>1190</v>
      </c>
      <c r="Q912" s="2">
        <f t="shared" si="72"/>
        <v>250</v>
      </c>
      <c r="R912" s="2">
        <f t="shared" si="70"/>
        <v>1440</v>
      </c>
      <c r="S912" t="str">
        <f t="shared" si="74"/>
        <v>Fairly Active</v>
      </c>
      <c r="T912" s="2">
        <v>2284</v>
      </c>
    </row>
    <row r="913" spans="1:20" x14ac:dyDescent="0.25">
      <c r="A913" s="2">
        <v>7007744171</v>
      </c>
      <c r="B913" s="3">
        <v>42484</v>
      </c>
      <c r="C913" t="str">
        <f t="shared" si="71"/>
        <v>Sunday</v>
      </c>
      <c r="D913" t="str">
        <f t="shared" si="73"/>
        <v>Weekend</v>
      </c>
      <c r="E913" s="2">
        <v>11085</v>
      </c>
      <c r="F913" s="2">
        <v>7.420000076</v>
      </c>
      <c r="G913" s="2">
        <v>7.420000076</v>
      </c>
      <c r="H913" s="2">
        <v>0</v>
      </c>
      <c r="I913" s="2">
        <v>0</v>
      </c>
      <c r="J913" s="2">
        <v>0</v>
      </c>
      <c r="K913" s="2">
        <v>7.420000076</v>
      </c>
      <c r="L913" s="2">
        <v>0</v>
      </c>
      <c r="M913" s="2">
        <v>0</v>
      </c>
      <c r="N913" s="2">
        <v>0</v>
      </c>
      <c r="O913" s="2">
        <v>419</v>
      </c>
      <c r="P913" s="2">
        <v>1021</v>
      </c>
      <c r="Q913" s="2">
        <f t="shared" si="72"/>
        <v>419</v>
      </c>
      <c r="R913" s="2">
        <f t="shared" si="70"/>
        <v>1440</v>
      </c>
      <c r="S913" t="str">
        <f t="shared" si="74"/>
        <v>Highly Active</v>
      </c>
      <c r="T913" s="2">
        <v>2667</v>
      </c>
    </row>
    <row r="914" spans="1:20" x14ac:dyDescent="0.25">
      <c r="A914" s="2">
        <v>7007744171</v>
      </c>
      <c r="B914" s="3">
        <v>42485</v>
      </c>
      <c r="C914" t="str">
        <f t="shared" si="71"/>
        <v>Monday</v>
      </c>
      <c r="D914" t="str">
        <f t="shared" si="73"/>
        <v>Weekday</v>
      </c>
      <c r="E914" s="2">
        <v>18229</v>
      </c>
      <c r="F914" s="2">
        <v>13.34000015</v>
      </c>
      <c r="G914" s="2">
        <v>12.19999981</v>
      </c>
      <c r="H914" s="2">
        <v>4.8617920879999996</v>
      </c>
      <c r="I914" s="2">
        <v>4.3099999430000002</v>
      </c>
      <c r="J914" s="2">
        <v>1.3700000050000001</v>
      </c>
      <c r="K914" s="2">
        <v>7.670000076</v>
      </c>
      <c r="L914" s="2">
        <v>0</v>
      </c>
      <c r="M914" s="2">
        <v>51</v>
      </c>
      <c r="N914" s="2">
        <v>24</v>
      </c>
      <c r="O914" s="2">
        <v>379</v>
      </c>
      <c r="P914" s="2">
        <v>986</v>
      </c>
      <c r="Q914" s="2">
        <f t="shared" si="72"/>
        <v>454</v>
      </c>
      <c r="R914" s="2">
        <f t="shared" si="70"/>
        <v>1440</v>
      </c>
      <c r="S914" t="str">
        <f t="shared" si="74"/>
        <v>Highly Active</v>
      </c>
      <c r="T914" s="2">
        <v>3055</v>
      </c>
    </row>
    <row r="915" spans="1:20" x14ac:dyDescent="0.25">
      <c r="A915" s="2">
        <v>7007744171</v>
      </c>
      <c r="B915" s="3">
        <v>42486</v>
      </c>
      <c r="C915" t="str">
        <f t="shared" si="71"/>
        <v>Tuesday</v>
      </c>
      <c r="D915" t="str">
        <f t="shared" si="73"/>
        <v>Weekday</v>
      </c>
      <c r="E915" s="2">
        <v>15090</v>
      </c>
      <c r="F915" s="2">
        <v>10.100000380000001</v>
      </c>
      <c r="G915" s="2">
        <v>10.100000380000001</v>
      </c>
      <c r="H915" s="2">
        <v>0</v>
      </c>
      <c r="I915" s="2">
        <v>0.93000000699999996</v>
      </c>
      <c r="J915" s="2">
        <v>0.939999998</v>
      </c>
      <c r="K915" s="2">
        <v>8.2299995419999998</v>
      </c>
      <c r="L915" s="2">
        <v>0</v>
      </c>
      <c r="M915" s="2">
        <v>16</v>
      </c>
      <c r="N915" s="2">
        <v>22</v>
      </c>
      <c r="O915" s="2">
        <v>424</v>
      </c>
      <c r="P915" s="2">
        <v>978</v>
      </c>
      <c r="Q915" s="2">
        <f t="shared" si="72"/>
        <v>462</v>
      </c>
      <c r="R915" s="2">
        <f t="shared" si="70"/>
        <v>1440</v>
      </c>
      <c r="S915" t="str">
        <f t="shared" si="74"/>
        <v>Highly Active</v>
      </c>
      <c r="T915" s="2">
        <v>2939</v>
      </c>
    </row>
    <row r="916" spans="1:20" x14ac:dyDescent="0.25">
      <c r="A916" s="2">
        <v>7007744171</v>
      </c>
      <c r="B916" s="3">
        <v>42487</v>
      </c>
      <c r="C916" t="str">
        <f t="shared" si="71"/>
        <v>Wednesday</v>
      </c>
      <c r="D916" t="str">
        <f t="shared" si="73"/>
        <v>Weekday</v>
      </c>
      <c r="E916" s="2">
        <v>13541</v>
      </c>
      <c r="F916" s="2">
        <v>10.22000027</v>
      </c>
      <c r="G916" s="2">
        <v>9.0600004199999997</v>
      </c>
      <c r="H916" s="2">
        <v>4.8856048579999998</v>
      </c>
      <c r="I916" s="2">
        <v>4.2699999809999998</v>
      </c>
      <c r="J916" s="2">
        <v>0.66000002599999996</v>
      </c>
      <c r="K916" s="2">
        <v>5.2899999619999996</v>
      </c>
      <c r="L916" s="2">
        <v>0</v>
      </c>
      <c r="M916" s="2">
        <v>50</v>
      </c>
      <c r="N916" s="2">
        <v>12</v>
      </c>
      <c r="O916" s="2">
        <v>337</v>
      </c>
      <c r="P916" s="2">
        <v>1041</v>
      </c>
      <c r="Q916" s="2">
        <f t="shared" si="72"/>
        <v>399</v>
      </c>
      <c r="R916" s="2">
        <f t="shared" si="70"/>
        <v>1440</v>
      </c>
      <c r="S916" t="str">
        <f t="shared" si="74"/>
        <v>Highly Active</v>
      </c>
      <c r="T916" s="2">
        <v>2830</v>
      </c>
    </row>
    <row r="917" spans="1:20" x14ac:dyDescent="0.25">
      <c r="A917" s="2">
        <v>7007744171</v>
      </c>
      <c r="B917" s="3">
        <v>42488</v>
      </c>
      <c r="C917" t="str">
        <f t="shared" si="71"/>
        <v>Thursday</v>
      </c>
      <c r="D917" t="str">
        <f t="shared" si="73"/>
        <v>Weekday</v>
      </c>
      <c r="E917" s="2">
        <v>15128</v>
      </c>
      <c r="F917" s="2">
        <v>10.119999890000001</v>
      </c>
      <c r="G917" s="2">
        <v>10.119999890000001</v>
      </c>
      <c r="H917" s="2">
        <v>0</v>
      </c>
      <c r="I917" s="2">
        <v>1.0900000329999999</v>
      </c>
      <c r="J917" s="2">
        <v>0.769999981</v>
      </c>
      <c r="K917" s="2">
        <v>8.2600002289999992</v>
      </c>
      <c r="L917" s="2">
        <v>0</v>
      </c>
      <c r="M917" s="2">
        <v>16</v>
      </c>
      <c r="N917" s="2">
        <v>16</v>
      </c>
      <c r="O917" s="2">
        <v>401</v>
      </c>
      <c r="P917" s="2">
        <v>1007</v>
      </c>
      <c r="Q917" s="2">
        <f t="shared" si="72"/>
        <v>433</v>
      </c>
      <c r="R917" s="2">
        <f t="shared" si="70"/>
        <v>1440</v>
      </c>
      <c r="S917" t="str">
        <f t="shared" si="74"/>
        <v>Highly Active</v>
      </c>
      <c r="T917" s="2">
        <v>2836</v>
      </c>
    </row>
    <row r="918" spans="1:20" x14ac:dyDescent="0.25">
      <c r="A918" s="2">
        <v>7007744171</v>
      </c>
      <c r="B918" s="3">
        <v>42489</v>
      </c>
      <c r="C918" t="str">
        <f t="shared" si="71"/>
        <v>Friday</v>
      </c>
      <c r="D918" t="str">
        <f t="shared" si="73"/>
        <v>Weekday</v>
      </c>
      <c r="E918" s="2">
        <v>20067</v>
      </c>
      <c r="F918" s="2">
        <v>14.30000019</v>
      </c>
      <c r="G918" s="2">
        <v>13.420000079999999</v>
      </c>
      <c r="H918" s="2">
        <v>4.9111461639999998</v>
      </c>
      <c r="I918" s="2">
        <v>4.3099999430000002</v>
      </c>
      <c r="J918" s="2">
        <v>2.0499999519999998</v>
      </c>
      <c r="K918" s="2">
        <v>7.9499998090000004</v>
      </c>
      <c r="L918" s="2">
        <v>0</v>
      </c>
      <c r="M918" s="2">
        <v>55</v>
      </c>
      <c r="N918" s="2">
        <v>42</v>
      </c>
      <c r="O918" s="2">
        <v>382</v>
      </c>
      <c r="P918" s="2">
        <v>961</v>
      </c>
      <c r="Q918" s="2">
        <f t="shared" si="72"/>
        <v>479</v>
      </c>
      <c r="R918" s="2">
        <f t="shared" si="70"/>
        <v>1440</v>
      </c>
      <c r="S918" t="str">
        <f t="shared" si="74"/>
        <v>Highly Active</v>
      </c>
      <c r="T918" s="2">
        <v>3180</v>
      </c>
    </row>
    <row r="919" spans="1:20" x14ac:dyDescent="0.25">
      <c r="A919" s="2">
        <v>7007744171</v>
      </c>
      <c r="B919" s="3">
        <v>42490</v>
      </c>
      <c r="C919" t="str">
        <f t="shared" si="71"/>
        <v>Saturday</v>
      </c>
      <c r="D919" t="str">
        <f t="shared" si="73"/>
        <v>Weekend</v>
      </c>
      <c r="E919" s="2">
        <v>3761</v>
      </c>
      <c r="F919" s="2">
        <v>2.5199999809999998</v>
      </c>
      <c r="G919" s="2">
        <v>2.5199999809999998</v>
      </c>
      <c r="H919" s="2">
        <v>0</v>
      </c>
      <c r="I919" s="2">
        <v>0</v>
      </c>
      <c r="J919" s="2">
        <v>0</v>
      </c>
      <c r="K919" s="2">
        <v>2.5199999809999998</v>
      </c>
      <c r="L919" s="2">
        <v>0</v>
      </c>
      <c r="M919" s="2">
        <v>0</v>
      </c>
      <c r="N919" s="2">
        <v>0</v>
      </c>
      <c r="O919" s="2">
        <v>200</v>
      </c>
      <c r="P919" s="2">
        <v>1240</v>
      </c>
      <c r="Q919" s="2">
        <f t="shared" si="72"/>
        <v>200</v>
      </c>
      <c r="R919" s="2">
        <f t="shared" si="70"/>
        <v>1440</v>
      </c>
      <c r="S919" t="str">
        <f t="shared" si="74"/>
        <v>Sedentary</v>
      </c>
      <c r="T919" s="2">
        <v>2051</v>
      </c>
    </row>
    <row r="920" spans="1:20" x14ac:dyDescent="0.25">
      <c r="A920" s="2">
        <v>7007744171</v>
      </c>
      <c r="B920" s="3">
        <v>42491</v>
      </c>
      <c r="C920" t="str">
        <f t="shared" si="71"/>
        <v>Sunday</v>
      </c>
      <c r="D920" t="str">
        <f t="shared" si="73"/>
        <v>Weekend</v>
      </c>
      <c r="E920" s="2">
        <v>5600</v>
      </c>
      <c r="F920" s="2">
        <v>3.75</v>
      </c>
      <c r="G920" s="2">
        <v>3.75</v>
      </c>
      <c r="H920" s="2">
        <v>0</v>
      </c>
      <c r="I920" s="2">
        <v>0</v>
      </c>
      <c r="J920" s="2">
        <v>0</v>
      </c>
      <c r="K920" s="2">
        <v>3.75</v>
      </c>
      <c r="L920" s="2">
        <v>0</v>
      </c>
      <c r="M920" s="2">
        <v>0</v>
      </c>
      <c r="N920" s="2">
        <v>0</v>
      </c>
      <c r="O920" s="2">
        <v>237</v>
      </c>
      <c r="P920" s="2">
        <v>1142</v>
      </c>
      <c r="Q920" s="2">
        <f t="shared" si="72"/>
        <v>237</v>
      </c>
      <c r="R920" s="2">
        <f t="shared" ref="R920:R979" si="75">SUM(M920:P920)</f>
        <v>1379</v>
      </c>
      <c r="S920" t="str">
        <f t="shared" si="74"/>
        <v>Lightly Active</v>
      </c>
      <c r="T920" s="2">
        <v>2225</v>
      </c>
    </row>
    <row r="921" spans="1:20" x14ac:dyDescent="0.25">
      <c r="A921" s="2">
        <v>7007744171</v>
      </c>
      <c r="B921" s="3">
        <v>42492</v>
      </c>
      <c r="C921" t="str">
        <f t="shared" si="71"/>
        <v>Monday</v>
      </c>
      <c r="D921" t="str">
        <f t="shared" si="73"/>
        <v>Weekday</v>
      </c>
      <c r="E921" s="2">
        <v>13041</v>
      </c>
      <c r="F921" s="2">
        <v>9.1800003050000001</v>
      </c>
      <c r="G921" s="2">
        <v>8.7200002669999996</v>
      </c>
      <c r="H921" s="2">
        <v>2.8323259350000001</v>
      </c>
      <c r="I921" s="2">
        <v>4.6399998660000001</v>
      </c>
      <c r="J921" s="2">
        <v>0.69999998799999996</v>
      </c>
      <c r="K921" s="2">
        <v>3.829999924</v>
      </c>
      <c r="L921" s="2">
        <v>0</v>
      </c>
      <c r="M921" s="2">
        <v>64</v>
      </c>
      <c r="N921" s="2">
        <v>14</v>
      </c>
      <c r="O921" s="2">
        <v>250</v>
      </c>
      <c r="P921" s="2">
        <v>1112</v>
      </c>
      <c r="Q921" s="2">
        <f t="shared" si="72"/>
        <v>328</v>
      </c>
      <c r="R921" s="2">
        <f t="shared" si="75"/>
        <v>1440</v>
      </c>
      <c r="S921" t="str">
        <f t="shared" si="74"/>
        <v>Highly Active</v>
      </c>
      <c r="T921" s="2">
        <v>2642</v>
      </c>
    </row>
    <row r="922" spans="1:20" x14ac:dyDescent="0.25">
      <c r="A922" s="2">
        <v>7007744171</v>
      </c>
      <c r="B922" s="3">
        <v>42493</v>
      </c>
      <c r="C922" t="str">
        <f t="shared" si="71"/>
        <v>Tuesday</v>
      </c>
      <c r="D922" t="str">
        <f t="shared" si="73"/>
        <v>Weekday</v>
      </c>
      <c r="E922" s="2">
        <v>14510</v>
      </c>
      <c r="F922" s="2">
        <v>10.869999890000001</v>
      </c>
      <c r="G922" s="2">
        <v>9.7100000380000004</v>
      </c>
      <c r="H922" s="2">
        <v>4.9123678210000001</v>
      </c>
      <c r="I922" s="2">
        <v>4.4800000190000002</v>
      </c>
      <c r="J922" s="2">
        <v>1.019999981</v>
      </c>
      <c r="K922" s="2">
        <v>5.3600001339999999</v>
      </c>
      <c r="L922" s="2">
        <v>0</v>
      </c>
      <c r="M922" s="2">
        <v>58</v>
      </c>
      <c r="N922" s="2">
        <v>31</v>
      </c>
      <c r="O922" s="2">
        <v>330</v>
      </c>
      <c r="P922" s="2">
        <v>1021</v>
      </c>
      <c r="Q922" s="2">
        <f t="shared" si="72"/>
        <v>419</v>
      </c>
      <c r="R922" s="2">
        <f t="shared" si="75"/>
        <v>1440</v>
      </c>
      <c r="S922" t="str">
        <f t="shared" si="74"/>
        <v>Highly Active</v>
      </c>
      <c r="T922" s="2">
        <v>2976</v>
      </c>
    </row>
    <row r="923" spans="1:20" x14ac:dyDescent="0.25">
      <c r="A923" s="2">
        <v>7007744171</v>
      </c>
      <c r="B923" s="3">
        <v>42495</v>
      </c>
      <c r="C923" t="str">
        <f t="shared" si="71"/>
        <v>Thursday</v>
      </c>
      <c r="D923" t="str">
        <f t="shared" si="73"/>
        <v>Weekday</v>
      </c>
      <c r="E923" s="2">
        <v>15010</v>
      </c>
      <c r="F923" s="2">
        <v>11.100000380000001</v>
      </c>
      <c r="G923" s="2">
        <v>10.039999959999999</v>
      </c>
      <c r="H923" s="2">
        <v>4.8782320019999998</v>
      </c>
      <c r="I923" s="2">
        <v>4.329999924</v>
      </c>
      <c r="J923" s="2">
        <v>1.289999962</v>
      </c>
      <c r="K923" s="2">
        <v>5.4800000190000002</v>
      </c>
      <c r="L923" s="2">
        <v>0</v>
      </c>
      <c r="M923" s="2">
        <v>53</v>
      </c>
      <c r="N923" s="2">
        <v>23</v>
      </c>
      <c r="O923" s="2">
        <v>317</v>
      </c>
      <c r="P923" s="2">
        <v>1047</v>
      </c>
      <c r="Q923" s="2">
        <f t="shared" si="72"/>
        <v>393</v>
      </c>
      <c r="R923" s="2">
        <f t="shared" si="75"/>
        <v>1440</v>
      </c>
      <c r="S923" t="str">
        <f t="shared" si="74"/>
        <v>Highly Active</v>
      </c>
      <c r="T923" s="2">
        <v>2933</v>
      </c>
    </row>
    <row r="924" spans="1:20" x14ac:dyDescent="0.25">
      <c r="A924" s="2">
        <v>7007744171</v>
      </c>
      <c r="B924" s="3">
        <v>42496</v>
      </c>
      <c r="C924" t="str">
        <f t="shared" si="71"/>
        <v>Friday</v>
      </c>
      <c r="D924" t="str">
        <f t="shared" si="73"/>
        <v>Weekday</v>
      </c>
      <c r="E924" s="2">
        <v>11459</v>
      </c>
      <c r="F924" s="2">
        <v>7.670000076</v>
      </c>
      <c r="G924" s="2">
        <v>7.670000076</v>
      </c>
      <c r="H924" s="2">
        <v>0</v>
      </c>
      <c r="I924" s="2">
        <v>3</v>
      </c>
      <c r="J924" s="2">
        <v>0.810000002</v>
      </c>
      <c r="K924" s="2">
        <v>3.8599998950000001</v>
      </c>
      <c r="L924" s="2">
        <v>0</v>
      </c>
      <c r="M924" s="2">
        <v>44</v>
      </c>
      <c r="N924" s="2">
        <v>13</v>
      </c>
      <c r="O924" s="2">
        <v>247</v>
      </c>
      <c r="P924" s="2">
        <v>1136</v>
      </c>
      <c r="Q924" s="2">
        <f t="shared" si="72"/>
        <v>304</v>
      </c>
      <c r="R924" s="2">
        <f t="shared" si="75"/>
        <v>1440</v>
      </c>
      <c r="S924" t="str">
        <f t="shared" si="74"/>
        <v>Highly Active</v>
      </c>
      <c r="T924" s="2">
        <v>2553</v>
      </c>
    </row>
    <row r="925" spans="1:20" x14ac:dyDescent="0.25">
      <c r="A925" s="2">
        <v>7086361926</v>
      </c>
      <c r="B925" s="3">
        <v>42461</v>
      </c>
      <c r="C925" t="str">
        <f t="shared" ref="C925:C984" si="76">CHOOSE(WEEKDAY(B925), "Sunday", "Monday", "Tuesday", "Wednesday", "Thursday", "Friday", "Saturday")</f>
        <v>Friday</v>
      </c>
      <c r="D925" t="str">
        <f t="shared" si="73"/>
        <v>Weekday</v>
      </c>
      <c r="E925" s="2">
        <v>11463</v>
      </c>
      <c r="F925" s="2">
        <v>7.670000076</v>
      </c>
      <c r="G925" s="2">
        <v>7.670000076</v>
      </c>
      <c r="H925" s="2">
        <v>0</v>
      </c>
      <c r="I925" s="2">
        <v>2.829999924</v>
      </c>
      <c r="J925" s="2">
        <v>1.8899999860000001</v>
      </c>
      <c r="K925" s="2">
        <v>2.9300000669999999</v>
      </c>
      <c r="L925" s="2">
        <v>0</v>
      </c>
      <c r="M925" s="2">
        <v>38</v>
      </c>
      <c r="N925" s="2">
        <v>30</v>
      </c>
      <c r="O925" s="2">
        <v>154</v>
      </c>
      <c r="P925" s="2">
        <v>777</v>
      </c>
      <c r="Q925" s="2">
        <f t="shared" ref="Q925:Q984" si="77">SUM(M925:O925)</f>
        <v>222</v>
      </c>
      <c r="R925" s="2">
        <f t="shared" si="75"/>
        <v>999</v>
      </c>
      <c r="S925" t="str">
        <f t="shared" si="74"/>
        <v>Highly Active</v>
      </c>
      <c r="T925" s="2">
        <v>2496</v>
      </c>
    </row>
    <row r="926" spans="1:20" x14ac:dyDescent="0.25">
      <c r="A926" s="2">
        <v>7086361926</v>
      </c>
      <c r="B926" s="3">
        <v>42463</v>
      </c>
      <c r="C926" t="str">
        <f t="shared" si="76"/>
        <v>Sunday</v>
      </c>
      <c r="D926" t="str">
        <f t="shared" si="73"/>
        <v>Weekend</v>
      </c>
      <c r="E926" s="2">
        <v>1949</v>
      </c>
      <c r="F926" s="2">
        <v>1.309999943</v>
      </c>
      <c r="G926" s="2">
        <v>1.309999943</v>
      </c>
      <c r="H926" s="2">
        <v>0</v>
      </c>
      <c r="I926" s="2">
        <v>0.23000000400000001</v>
      </c>
      <c r="J926" s="2">
        <v>0.34999999399999998</v>
      </c>
      <c r="K926" s="2">
        <v>0.730000019</v>
      </c>
      <c r="L926" s="2">
        <v>0</v>
      </c>
      <c r="M926" s="2">
        <v>3</v>
      </c>
      <c r="N926" s="2">
        <v>6</v>
      </c>
      <c r="O926" s="2">
        <v>27</v>
      </c>
      <c r="P926" s="2">
        <v>1404</v>
      </c>
      <c r="Q926" s="2">
        <f t="shared" si="77"/>
        <v>36</v>
      </c>
      <c r="R926" s="2">
        <f t="shared" si="75"/>
        <v>1440</v>
      </c>
      <c r="S926" t="str">
        <f t="shared" si="74"/>
        <v>Sedentary</v>
      </c>
      <c r="T926" s="2">
        <v>1794</v>
      </c>
    </row>
    <row r="927" spans="1:20" x14ac:dyDescent="0.25">
      <c r="A927" s="2">
        <v>7086361926</v>
      </c>
      <c r="B927" s="3">
        <v>42464</v>
      </c>
      <c r="C927" t="str">
        <f t="shared" si="76"/>
        <v>Monday</v>
      </c>
      <c r="D927" t="str">
        <f t="shared" si="73"/>
        <v>Weekday</v>
      </c>
      <c r="E927" s="2">
        <v>6101</v>
      </c>
      <c r="F927" s="2">
        <v>3.869999886</v>
      </c>
      <c r="G927" s="2">
        <v>3.869999886</v>
      </c>
      <c r="H927" s="2">
        <v>0</v>
      </c>
      <c r="I927" s="2">
        <v>0.52999997099999996</v>
      </c>
      <c r="J927" s="2">
        <v>0.23000000400000001</v>
      </c>
      <c r="K927" s="2">
        <v>3.0999999049999998</v>
      </c>
      <c r="L927" s="2">
        <v>0</v>
      </c>
      <c r="M927" s="2">
        <v>31</v>
      </c>
      <c r="N927" s="2">
        <v>24</v>
      </c>
      <c r="O927" s="2">
        <v>138</v>
      </c>
      <c r="P927" s="2">
        <v>1247</v>
      </c>
      <c r="Q927" s="2">
        <f t="shared" si="77"/>
        <v>193</v>
      </c>
      <c r="R927" s="2">
        <f t="shared" si="75"/>
        <v>1440</v>
      </c>
      <c r="S927" t="str">
        <f t="shared" si="74"/>
        <v>Lightly Active</v>
      </c>
      <c r="T927" s="2">
        <v>2421</v>
      </c>
    </row>
    <row r="928" spans="1:20" x14ac:dyDescent="0.25">
      <c r="A928" s="2">
        <v>7086361926</v>
      </c>
      <c r="B928" s="3">
        <v>42465</v>
      </c>
      <c r="C928" t="str">
        <f t="shared" si="76"/>
        <v>Tuesday</v>
      </c>
      <c r="D928" t="str">
        <f t="shared" si="73"/>
        <v>Weekday</v>
      </c>
      <c r="E928" s="2">
        <v>7478</v>
      </c>
      <c r="F928" s="2">
        <v>4.9899997709999999</v>
      </c>
      <c r="G928" s="2">
        <v>4.9899997709999999</v>
      </c>
      <c r="H928" s="2">
        <v>0</v>
      </c>
      <c r="I928" s="2">
        <v>1.7999999520000001</v>
      </c>
      <c r="J928" s="2">
        <v>0.52999997099999996</v>
      </c>
      <c r="K928" s="2">
        <v>2.6099998950000001</v>
      </c>
      <c r="L928" s="2">
        <v>2.9999998999999999E-2</v>
      </c>
      <c r="M928" s="2">
        <v>25</v>
      </c>
      <c r="N928" s="2">
        <v>33</v>
      </c>
      <c r="O928" s="2">
        <v>132</v>
      </c>
      <c r="P928" s="2">
        <v>1159</v>
      </c>
      <c r="Q928" s="2">
        <f t="shared" si="77"/>
        <v>190</v>
      </c>
      <c r="R928" s="2">
        <f t="shared" si="75"/>
        <v>1349</v>
      </c>
      <c r="S928" t="str">
        <f t="shared" si="74"/>
        <v>Lightly Active</v>
      </c>
      <c r="T928" s="2">
        <v>2439</v>
      </c>
    </row>
    <row r="929" spans="1:20" x14ac:dyDescent="0.25">
      <c r="A929" s="2">
        <v>7086361926</v>
      </c>
      <c r="B929" s="3">
        <v>42466</v>
      </c>
      <c r="C929" t="str">
        <f t="shared" si="76"/>
        <v>Wednesday</v>
      </c>
      <c r="D929" t="str">
        <f t="shared" si="73"/>
        <v>Weekday</v>
      </c>
      <c r="E929" s="2">
        <v>7352</v>
      </c>
      <c r="F929" s="2">
        <v>4.7300000190000002</v>
      </c>
      <c r="G929" s="2">
        <v>4.7300000190000002</v>
      </c>
      <c r="H929" s="2">
        <v>0</v>
      </c>
      <c r="I929" s="2">
        <v>1.4099999670000001</v>
      </c>
      <c r="J929" s="2">
        <v>0.77999997099999996</v>
      </c>
      <c r="K929" s="2">
        <v>2.5299999710000001</v>
      </c>
      <c r="L929" s="2">
        <v>0</v>
      </c>
      <c r="M929" s="2">
        <v>19</v>
      </c>
      <c r="N929" s="2">
        <v>14</v>
      </c>
      <c r="O929" s="2">
        <v>124</v>
      </c>
      <c r="P929" s="2">
        <v>814</v>
      </c>
      <c r="Q929" s="2">
        <f t="shared" si="77"/>
        <v>157</v>
      </c>
      <c r="R929" s="2">
        <f t="shared" si="75"/>
        <v>971</v>
      </c>
      <c r="S929" t="str">
        <f t="shared" si="74"/>
        <v>Lightly Active</v>
      </c>
      <c r="T929" s="2">
        <v>2233</v>
      </c>
    </row>
    <row r="930" spans="1:20" x14ac:dyDescent="0.25">
      <c r="A930" s="2">
        <v>7086361926</v>
      </c>
      <c r="B930" s="3">
        <v>42467</v>
      </c>
      <c r="C930" t="str">
        <f t="shared" si="76"/>
        <v>Thursday</v>
      </c>
      <c r="D930" t="str">
        <f t="shared" si="73"/>
        <v>Weekday</v>
      </c>
      <c r="E930" s="2">
        <v>14604</v>
      </c>
      <c r="F930" s="2">
        <v>10.81999969</v>
      </c>
      <c r="G930" s="2">
        <v>10.81999969</v>
      </c>
      <c r="H930" s="2">
        <v>0</v>
      </c>
      <c r="I930" s="2">
        <v>7.2300000190000002</v>
      </c>
      <c r="J930" s="2">
        <v>1.1200000050000001</v>
      </c>
      <c r="K930" s="2">
        <v>2.4300000669999999</v>
      </c>
      <c r="L930" s="2">
        <v>2.9999998999999999E-2</v>
      </c>
      <c r="M930" s="2">
        <v>76</v>
      </c>
      <c r="N930" s="2">
        <v>30</v>
      </c>
      <c r="O930" s="2">
        <v>127</v>
      </c>
      <c r="P930" s="2">
        <v>695</v>
      </c>
      <c r="Q930" s="2">
        <f t="shared" si="77"/>
        <v>233</v>
      </c>
      <c r="R930" s="2">
        <f t="shared" si="75"/>
        <v>928</v>
      </c>
      <c r="S930" t="str">
        <f t="shared" si="74"/>
        <v>Highly Active</v>
      </c>
      <c r="T930" s="2">
        <v>2862</v>
      </c>
    </row>
    <row r="931" spans="1:20" x14ac:dyDescent="0.25">
      <c r="A931" s="2">
        <v>7086361926</v>
      </c>
      <c r="B931" s="3">
        <v>42468</v>
      </c>
      <c r="C931" t="str">
        <f t="shared" si="76"/>
        <v>Friday</v>
      </c>
      <c r="D931" t="str">
        <f t="shared" si="73"/>
        <v>Weekday</v>
      </c>
      <c r="E931" s="2">
        <v>9634</v>
      </c>
      <c r="F931" s="2">
        <v>6.5199999809999998</v>
      </c>
      <c r="G931" s="2">
        <v>6.5199999809999998</v>
      </c>
      <c r="H931" s="2">
        <v>0</v>
      </c>
      <c r="I931" s="2">
        <v>2.5</v>
      </c>
      <c r="J931" s="2">
        <v>1.3999999759999999</v>
      </c>
      <c r="K931" s="2">
        <v>2.5899999139999998</v>
      </c>
      <c r="L931" s="2">
        <v>0</v>
      </c>
      <c r="M931" s="2">
        <v>50</v>
      </c>
      <c r="N931" s="2">
        <v>48</v>
      </c>
      <c r="O931" s="2">
        <v>140</v>
      </c>
      <c r="P931" s="2">
        <v>797</v>
      </c>
      <c r="Q931" s="2">
        <f t="shared" si="77"/>
        <v>238</v>
      </c>
      <c r="R931" s="2">
        <f t="shared" si="75"/>
        <v>1035</v>
      </c>
      <c r="S931" t="str">
        <f t="shared" si="74"/>
        <v>Fairly Active</v>
      </c>
      <c r="T931" s="2">
        <v>2752</v>
      </c>
    </row>
    <row r="932" spans="1:20" x14ac:dyDescent="0.25">
      <c r="A932" s="2">
        <v>7086361926</v>
      </c>
      <c r="B932" s="3">
        <v>42469</v>
      </c>
      <c r="C932" t="str">
        <f t="shared" si="76"/>
        <v>Saturday</v>
      </c>
      <c r="D932" t="str">
        <f t="shared" si="73"/>
        <v>Weekend</v>
      </c>
      <c r="E932" s="2">
        <v>7338</v>
      </c>
      <c r="F932" s="2">
        <v>4.670000076</v>
      </c>
      <c r="G932" s="2">
        <v>4.670000076</v>
      </c>
      <c r="H932" s="2">
        <v>0</v>
      </c>
      <c r="I932" s="2">
        <v>1.0800000430000001</v>
      </c>
      <c r="J932" s="2">
        <v>0.12999999500000001</v>
      </c>
      <c r="K932" s="2">
        <v>3.460000038</v>
      </c>
      <c r="L932" s="2">
        <v>0</v>
      </c>
      <c r="M932" s="2">
        <v>27</v>
      </c>
      <c r="N932" s="2">
        <v>5</v>
      </c>
      <c r="O932" s="2">
        <v>204</v>
      </c>
      <c r="P932" s="2">
        <v>717</v>
      </c>
      <c r="Q932" s="2">
        <f t="shared" si="77"/>
        <v>236</v>
      </c>
      <c r="R932" s="2">
        <f t="shared" si="75"/>
        <v>953</v>
      </c>
      <c r="S932" t="str">
        <f t="shared" si="74"/>
        <v>Lightly Active</v>
      </c>
      <c r="T932" s="2">
        <v>2519</v>
      </c>
    </row>
    <row r="933" spans="1:20" x14ac:dyDescent="0.25">
      <c r="A933" s="2">
        <v>7086361926</v>
      </c>
      <c r="B933" s="3">
        <v>42470</v>
      </c>
      <c r="C933" t="str">
        <f t="shared" si="76"/>
        <v>Sunday</v>
      </c>
      <c r="D933" t="str">
        <f t="shared" si="73"/>
        <v>Weekend</v>
      </c>
      <c r="E933" s="2">
        <v>569</v>
      </c>
      <c r="F933" s="2">
        <v>0.34999999399999998</v>
      </c>
      <c r="G933" s="2">
        <v>0.34999999399999998</v>
      </c>
      <c r="H933" s="2">
        <v>0</v>
      </c>
      <c r="I933" s="2">
        <v>0</v>
      </c>
      <c r="J933" s="2">
        <v>0</v>
      </c>
      <c r="K933" s="2">
        <v>0.34000000400000002</v>
      </c>
      <c r="L933" s="2">
        <v>0</v>
      </c>
      <c r="M933" s="2">
        <v>0</v>
      </c>
      <c r="N933" s="2">
        <v>0</v>
      </c>
      <c r="O933" s="2">
        <v>27</v>
      </c>
      <c r="P933" s="2">
        <v>1368</v>
      </c>
      <c r="Q933" s="2">
        <f t="shared" si="77"/>
        <v>27</v>
      </c>
      <c r="R933" s="2">
        <f t="shared" si="75"/>
        <v>1395</v>
      </c>
      <c r="S933" t="str">
        <f t="shared" si="74"/>
        <v>Sedentary</v>
      </c>
      <c r="T933" s="2">
        <v>1799</v>
      </c>
    </row>
    <row r="934" spans="1:20" x14ac:dyDescent="0.25">
      <c r="A934" s="2">
        <v>7086361926</v>
      </c>
      <c r="B934" s="3">
        <v>42471</v>
      </c>
      <c r="C934" t="str">
        <f t="shared" si="76"/>
        <v>Monday</v>
      </c>
      <c r="D934" t="str">
        <f t="shared" si="73"/>
        <v>Weekday</v>
      </c>
      <c r="E934" s="2">
        <v>6242</v>
      </c>
      <c r="F934" s="2">
        <v>3.920000076</v>
      </c>
      <c r="G934" s="2">
        <v>3.920000076</v>
      </c>
      <c r="H934" s="2">
        <v>0</v>
      </c>
      <c r="I934" s="2">
        <v>0.74000001000000004</v>
      </c>
      <c r="J934" s="2">
        <v>0.23000000400000001</v>
      </c>
      <c r="K934" s="2">
        <v>2.9300000669999999</v>
      </c>
      <c r="L934" s="2">
        <v>0</v>
      </c>
      <c r="M934" s="2">
        <v>46</v>
      </c>
      <c r="N934" s="2">
        <v>22</v>
      </c>
      <c r="O934" s="2">
        <v>126</v>
      </c>
      <c r="P934" s="2">
        <v>741</v>
      </c>
      <c r="Q934" s="2">
        <f t="shared" si="77"/>
        <v>194</v>
      </c>
      <c r="R934" s="2">
        <f t="shared" si="75"/>
        <v>935</v>
      </c>
      <c r="S934" t="str">
        <f t="shared" si="74"/>
        <v>Lightly Active</v>
      </c>
      <c r="T934" s="2">
        <v>2543</v>
      </c>
    </row>
    <row r="935" spans="1:20" x14ac:dyDescent="0.25">
      <c r="A935" s="2">
        <v>7086361926</v>
      </c>
      <c r="B935" s="3">
        <v>42473</v>
      </c>
      <c r="C935" t="str">
        <f t="shared" si="76"/>
        <v>Wednesday</v>
      </c>
      <c r="D935" t="str">
        <f t="shared" si="73"/>
        <v>Weekday</v>
      </c>
      <c r="E935" s="2">
        <v>5813</v>
      </c>
      <c r="F935" s="2">
        <v>3.619999886</v>
      </c>
      <c r="G935" s="2">
        <v>3.619999886</v>
      </c>
      <c r="H935" s="2">
        <v>0</v>
      </c>
      <c r="I935" s="2">
        <v>0.560000002</v>
      </c>
      <c r="J935" s="2">
        <v>0.209999993</v>
      </c>
      <c r="K935" s="2">
        <v>2.8399999139999998</v>
      </c>
      <c r="L935" s="2">
        <v>0</v>
      </c>
      <c r="M935" s="2">
        <v>31</v>
      </c>
      <c r="N935" s="2">
        <v>26</v>
      </c>
      <c r="O935" s="2">
        <v>155</v>
      </c>
      <c r="P935" s="2">
        <v>744</v>
      </c>
      <c r="Q935" s="2">
        <f t="shared" si="77"/>
        <v>212</v>
      </c>
      <c r="R935" s="2">
        <f t="shared" si="75"/>
        <v>956</v>
      </c>
      <c r="S935" t="str">
        <f t="shared" si="74"/>
        <v>Lightly Active</v>
      </c>
      <c r="T935" s="2">
        <v>2516</v>
      </c>
    </row>
    <row r="936" spans="1:20" x14ac:dyDescent="0.25">
      <c r="A936" s="2">
        <v>7086361926</v>
      </c>
      <c r="B936" s="3">
        <v>42474</v>
      </c>
      <c r="C936" t="str">
        <f t="shared" si="76"/>
        <v>Thursday</v>
      </c>
      <c r="D936" t="str">
        <f t="shared" si="73"/>
        <v>Weekday</v>
      </c>
      <c r="E936" s="2">
        <v>9123</v>
      </c>
      <c r="F936" s="2">
        <v>6.1199998860000004</v>
      </c>
      <c r="G936" s="2">
        <v>6.1199998860000004</v>
      </c>
      <c r="H936" s="2">
        <v>0</v>
      </c>
      <c r="I936" s="2">
        <v>2.0299999710000001</v>
      </c>
      <c r="J936" s="2">
        <v>0.33000001299999998</v>
      </c>
      <c r="K936" s="2">
        <v>3.6600000860000002</v>
      </c>
      <c r="L936" s="2">
        <v>0</v>
      </c>
      <c r="M936" s="2">
        <v>35</v>
      </c>
      <c r="N936" s="2">
        <v>32</v>
      </c>
      <c r="O936" s="2">
        <v>189</v>
      </c>
      <c r="P936" s="2">
        <v>787</v>
      </c>
      <c r="Q936" s="2">
        <f t="shared" si="77"/>
        <v>256</v>
      </c>
      <c r="R936" s="2">
        <f t="shared" si="75"/>
        <v>1043</v>
      </c>
      <c r="S936" t="str">
        <f t="shared" si="74"/>
        <v>Fairly Active</v>
      </c>
      <c r="T936" s="2">
        <v>2734</v>
      </c>
    </row>
    <row r="937" spans="1:20" x14ac:dyDescent="0.25">
      <c r="A937" s="2">
        <v>7086361926</v>
      </c>
      <c r="B937" s="3">
        <v>42475</v>
      </c>
      <c r="C937" t="str">
        <f t="shared" si="76"/>
        <v>Friday</v>
      </c>
      <c r="D937" t="str">
        <f t="shared" si="73"/>
        <v>Weekday</v>
      </c>
      <c r="E937" s="2">
        <v>8585</v>
      </c>
      <c r="F937" s="2">
        <v>5.670000076</v>
      </c>
      <c r="G937" s="2">
        <v>5.670000076</v>
      </c>
      <c r="H937" s="2">
        <v>0</v>
      </c>
      <c r="I937" s="2">
        <v>2.039999962</v>
      </c>
      <c r="J937" s="2">
        <v>1.1100000139999999</v>
      </c>
      <c r="K937" s="2">
        <v>2.5299999710000001</v>
      </c>
      <c r="L937" s="2">
        <v>0</v>
      </c>
      <c r="M937" s="2">
        <v>30</v>
      </c>
      <c r="N937" s="2">
        <v>21</v>
      </c>
      <c r="O937" s="2">
        <v>139</v>
      </c>
      <c r="P937" s="2">
        <v>864</v>
      </c>
      <c r="Q937" s="2">
        <f t="shared" si="77"/>
        <v>190</v>
      </c>
      <c r="R937" s="2">
        <f t="shared" si="75"/>
        <v>1054</v>
      </c>
      <c r="S937" t="str">
        <f t="shared" si="74"/>
        <v>Fairly Active</v>
      </c>
      <c r="T937" s="2">
        <v>2395</v>
      </c>
    </row>
    <row r="938" spans="1:20" x14ac:dyDescent="0.25">
      <c r="A938" s="2">
        <v>7086361926</v>
      </c>
      <c r="B938" s="3">
        <v>42478</v>
      </c>
      <c r="C938" t="str">
        <f t="shared" si="76"/>
        <v>Monday</v>
      </c>
      <c r="D938" t="str">
        <f t="shared" si="73"/>
        <v>Weekday</v>
      </c>
      <c r="E938" s="2">
        <v>9827</v>
      </c>
      <c r="F938" s="2">
        <v>6.7100000380000004</v>
      </c>
      <c r="G938" s="2">
        <v>6.7100000380000004</v>
      </c>
      <c r="H938" s="2">
        <v>0</v>
      </c>
      <c r="I938" s="2">
        <v>3.170000076</v>
      </c>
      <c r="J938" s="2">
        <v>1.2200000289999999</v>
      </c>
      <c r="K938" s="2">
        <v>2.3099999430000002</v>
      </c>
      <c r="L938" s="2">
        <v>0</v>
      </c>
      <c r="M938" s="2">
        <v>61</v>
      </c>
      <c r="N938" s="2">
        <v>51</v>
      </c>
      <c r="O938" s="2">
        <v>114</v>
      </c>
      <c r="P938" s="2">
        <v>1136</v>
      </c>
      <c r="Q938" s="2">
        <f t="shared" si="77"/>
        <v>226</v>
      </c>
      <c r="R938" s="2">
        <f t="shared" si="75"/>
        <v>1362</v>
      </c>
      <c r="S938" t="str">
        <f t="shared" si="74"/>
        <v>Fairly Active</v>
      </c>
      <c r="T938" s="2">
        <v>2743</v>
      </c>
    </row>
    <row r="939" spans="1:20" x14ac:dyDescent="0.25">
      <c r="A939" s="2">
        <v>7086361926</v>
      </c>
      <c r="B939" s="3">
        <v>42479</v>
      </c>
      <c r="C939" t="str">
        <f t="shared" si="76"/>
        <v>Tuesday</v>
      </c>
      <c r="D939" t="str">
        <f t="shared" si="73"/>
        <v>Weekday</v>
      </c>
      <c r="E939" s="2">
        <v>10688</v>
      </c>
      <c r="F939" s="2">
        <v>7.2899999619999996</v>
      </c>
      <c r="G939" s="2">
        <v>7.2899999619999996</v>
      </c>
      <c r="H939" s="2">
        <v>0</v>
      </c>
      <c r="I939" s="2">
        <v>3.5299999710000001</v>
      </c>
      <c r="J939" s="2">
        <v>1.230000019</v>
      </c>
      <c r="K939" s="2">
        <v>2.5099999899999998</v>
      </c>
      <c r="L939" s="2">
        <v>0</v>
      </c>
      <c r="M939" s="2">
        <v>67</v>
      </c>
      <c r="N939" s="2">
        <v>69</v>
      </c>
      <c r="O939" s="2">
        <v>124</v>
      </c>
      <c r="P939" s="2">
        <v>671</v>
      </c>
      <c r="Q939" s="2">
        <f t="shared" si="77"/>
        <v>260</v>
      </c>
      <c r="R939" s="2">
        <f t="shared" si="75"/>
        <v>931</v>
      </c>
      <c r="S939" t="str">
        <f t="shared" si="74"/>
        <v>Highly Active</v>
      </c>
      <c r="T939" s="2">
        <v>2944</v>
      </c>
    </row>
    <row r="940" spans="1:20" x14ac:dyDescent="0.25">
      <c r="A940" s="2">
        <v>7086361926</v>
      </c>
      <c r="B940" s="3">
        <v>42480</v>
      </c>
      <c r="C940" t="str">
        <f t="shared" si="76"/>
        <v>Wednesday</v>
      </c>
      <c r="D940" t="str">
        <f t="shared" si="73"/>
        <v>Weekday</v>
      </c>
      <c r="E940" s="2">
        <v>14365</v>
      </c>
      <c r="F940" s="2">
        <v>10.64000034</v>
      </c>
      <c r="G940" s="2">
        <v>10.64000034</v>
      </c>
      <c r="H940" s="2">
        <v>0</v>
      </c>
      <c r="I940" s="2">
        <v>7.6399998660000001</v>
      </c>
      <c r="J940" s="2">
        <v>0.44999998800000002</v>
      </c>
      <c r="K940" s="2">
        <v>2.539999962</v>
      </c>
      <c r="L940" s="2">
        <v>0</v>
      </c>
      <c r="M940" s="2">
        <v>87</v>
      </c>
      <c r="N940" s="2">
        <v>13</v>
      </c>
      <c r="O940" s="2">
        <v>145</v>
      </c>
      <c r="P940" s="2">
        <v>797</v>
      </c>
      <c r="Q940" s="2">
        <f t="shared" si="77"/>
        <v>245</v>
      </c>
      <c r="R940" s="2">
        <f t="shared" si="75"/>
        <v>1042</v>
      </c>
      <c r="S940" t="str">
        <f t="shared" si="74"/>
        <v>Highly Active</v>
      </c>
      <c r="T940" s="2">
        <v>2997</v>
      </c>
    </row>
    <row r="941" spans="1:20" x14ac:dyDescent="0.25">
      <c r="A941" s="2">
        <v>7086361926</v>
      </c>
      <c r="B941" s="3">
        <v>42481</v>
      </c>
      <c r="C941" t="str">
        <f t="shared" si="76"/>
        <v>Thursday</v>
      </c>
      <c r="D941" t="str">
        <f t="shared" si="73"/>
        <v>Weekday</v>
      </c>
      <c r="E941" s="2">
        <v>9469</v>
      </c>
      <c r="F941" s="2">
        <v>6.1799998279999997</v>
      </c>
      <c r="G941" s="2">
        <v>6.1799998279999997</v>
      </c>
      <c r="H941" s="2">
        <v>0</v>
      </c>
      <c r="I941" s="2">
        <v>1.3600000139999999</v>
      </c>
      <c r="J941" s="2">
        <v>0.30000001199999998</v>
      </c>
      <c r="K941" s="2">
        <v>4.5100002290000001</v>
      </c>
      <c r="L941" s="2">
        <v>0</v>
      </c>
      <c r="M941" s="2">
        <v>19</v>
      </c>
      <c r="N941" s="2">
        <v>6</v>
      </c>
      <c r="O941" s="2">
        <v>206</v>
      </c>
      <c r="P941" s="2">
        <v>758</v>
      </c>
      <c r="Q941" s="2">
        <f t="shared" si="77"/>
        <v>231</v>
      </c>
      <c r="R941" s="2">
        <f t="shared" si="75"/>
        <v>989</v>
      </c>
      <c r="S941" t="str">
        <f t="shared" si="74"/>
        <v>Fairly Active</v>
      </c>
      <c r="T941" s="2">
        <v>2463</v>
      </c>
    </row>
    <row r="942" spans="1:20" x14ac:dyDescent="0.25">
      <c r="A942" s="2">
        <v>7086361926</v>
      </c>
      <c r="B942" s="3">
        <v>42482</v>
      </c>
      <c r="C942" t="str">
        <f t="shared" si="76"/>
        <v>Friday</v>
      </c>
      <c r="D942" t="str">
        <f t="shared" si="73"/>
        <v>Weekday</v>
      </c>
      <c r="E942" s="2">
        <v>9753</v>
      </c>
      <c r="F942" s="2">
        <v>6.5300002099999999</v>
      </c>
      <c r="G942" s="2">
        <v>6.5300002099999999</v>
      </c>
      <c r="H942" s="2">
        <v>0</v>
      </c>
      <c r="I942" s="2">
        <v>2.869999886</v>
      </c>
      <c r="J942" s="2">
        <v>0.97000002900000004</v>
      </c>
      <c r="K942" s="2">
        <v>2.670000076</v>
      </c>
      <c r="L942" s="2">
        <v>0</v>
      </c>
      <c r="M942" s="2">
        <v>58</v>
      </c>
      <c r="N942" s="2">
        <v>59</v>
      </c>
      <c r="O942" s="2">
        <v>153</v>
      </c>
      <c r="P942" s="2">
        <v>762</v>
      </c>
      <c r="Q942" s="2">
        <f t="shared" si="77"/>
        <v>270</v>
      </c>
      <c r="R942" s="2">
        <f t="shared" si="75"/>
        <v>1032</v>
      </c>
      <c r="S942" t="str">
        <f t="shared" si="74"/>
        <v>Fairly Active</v>
      </c>
      <c r="T942" s="2">
        <v>2846</v>
      </c>
    </row>
    <row r="943" spans="1:20" x14ac:dyDescent="0.25">
      <c r="A943" s="2">
        <v>7086361926</v>
      </c>
      <c r="B943" s="3">
        <v>42483</v>
      </c>
      <c r="C943" t="str">
        <f t="shared" si="76"/>
        <v>Saturday</v>
      </c>
      <c r="D943" t="str">
        <f t="shared" si="73"/>
        <v>Weekend</v>
      </c>
      <c r="E943" s="2">
        <v>2817</v>
      </c>
      <c r="F943" s="2">
        <v>1.809999943</v>
      </c>
      <c r="G943" s="2">
        <v>1.809999943</v>
      </c>
      <c r="H943" s="2">
        <v>0</v>
      </c>
      <c r="I943" s="2">
        <v>0</v>
      </c>
      <c r="J943" s="2">
        <v>0</v>
      </c>
      <c r="K943" s="2">
        <v>1.7999999520000001</v>
      </c>
      <c r="L943" s="2">
        <v>0</v>
      </c>
      <c r="M943" s="2">
        <v>0</v>
      </c>
      <c r="N943" s="2">
        <v>0</v>
      </c>
      <c r="O943" s="2">
        <v>90</v>
      </c>
      <c r="P943" s="2">
        <v>1350</v>
      </c>
      <c r="Q943" s="2">
        <f t="shared" si="77"/>
        <v>90</v>
      </c>
      <c r="R943" s="2">
        <f t="shared" si="75"/>
        <v>1440</v>
      </c>
      <c r="S943" t="str">
        <f t="shared" si="74"/>
        <v>Sedentary</v>
      </c>
      <c r="T943" s="2">
        <v>1965</v>
      </c>
    </row>
    <row r="944" spans="1:20" x14ac:dyDescent="0.25">
      <c r="A944" s="2">
        <v>7086361926</v>
      </c>
      <c r="B944" s="3">
        <v>42484</v>
      </c>
      <c r="C944" t="str">
        <f t="shared" si="76"/>
        <v>Sunday</v>
      </c>
      <c r="D944" t="str">
        <f t="shared" si="73"/>
        <v>Weekend</v>
      </c>
      <c r="E944" s="2">
        <v>3520</v>
      </c>
      <c r="F944" s="2">
        <v>2.1600000860000002</v>
      </c>
      <c r="G944" s="2">
        <v>2.1600000860000002</v>
      </c>
      <c r="H944" s="2">
        <v>0</v>
      </c>
      <c r="I944" s="2">
        <v>0</v>
      </c>
      <c r="J944" s="2">
        <v>0</v>
      </c>
      <c r="K944" s="2">
        <v>2.1500000950000002</v>
      </c>
      <c r="L944" s="2">
        <v>0</v>
      </c>
      <c r="M944" s="2">
        <v>0</v>
      </c>
      <c r="N944" s="2">
        <v>0</v>
      </c>
      <c r="O944" s="2">
        <v>125</v>
      </c>
      <c r="P944" s="2">
        <v>566</v>
      </c>
      <c r="Q944" s="2">
        <f t="shared" si="77"/>
        <v>125</v>
      </c>
      <c r="R944" s="2">
        <f t="shared" si="75"/>
        <v>691</v>
      </c>
      <c r="S944" t="str">
        <f t="shared" si="74"/>
        <v>Sedentary</v>
      </c>
      <c r="T944" s="2">
        <v>2049</v>
      </c>
    </row>
    <row r="945" spans="1:20" x14ac:dyDescent="0.25">
      <c r="A945" s="2">
        <v>7086361926</v>
      </c>
      <c r="B945" s="3">
        <v>42485</v>
      </c>
      <c r="C945" t="str">
        <f t="shared" si="76"/>
        <v>Monday</v>
      </c>
      <c r="D945" t="str">
        <f t="shared" si="73"/>
        <v>Weekday</v>
      </c>
      <c r="E945" s="2">
        <v>10091</v>
      </c>
      <c r="F945" s="2">
        <v>6.8200001720000003</v>
      </c>
      <c r="G945" s="2">
        <v>6.8200001720000003</v>
      </c>
      <c r="H945" s="2">
        <v>0</v>
      </c>
      <c r="I945" s="2">
        <v>3.75</v>
      </c>
      <c r="J945" s="2">
        <v>0.69999998799999996</v>
      </c>
      <c r="K945" s="2">
        <v>2.369999886</v>
      </c>
      <c r="L945" s="2">
        <v>0</v>
      </c>
      <c r="M945" s="2">
        <v>69</v>
      </c>
      <c r="N945" s="2">
        <v>39</v>
      </c>
      <c r="O945" s="2">
        <v>129</v>
      </c>
      <c r="P945" s="2">
        <v>706</v>
      </c>
      <c r="Q945" s="2">
        <f t="shared" si="77"/>
        <v>237</v>
      </c>
      <c r="R945" s="2">
        <f t="shared" si="75"/>
        <v>943</v>
      </c>
      <c r="S945" t="str">
        <f t="shared" si="74"/>
        <v>Highly Active</v>
      </c>
      <c r="T945" s="2">
        <v>2752</v>
      </c>
    </row>
    <row r="946" spans="1:20" x14ac:dyDescent="0.25">
      <c r="A946" s="2">
        <v>7086361926</v>
      </c>
      <c r="B946" s="3">
        <v>42486</v>
      </c>
      <c r="C946" t="str">
        <f t="shared" si="76"/>
        <v>Tuesday</v>
      </c>
      <c r="D946" t="str">
        <f t="shared" si="73"/>
        <v>Weekday</v>
      </c>
      <c r="E946" s="2">
        <v>10387</v>
      </c>
      <c r="F946" s="2">
        <v>7.0700001720000003</v>
      </c>
      <c r="G946" s="2">
        <v>7.0700001720000003</v>
      </c>
      <c r="H946" s="2">
        <v>0</v>
      </c>
      <c r="I946" s="2">
        <v>4.1599998469999999</v>
      </c>
      <c r="J946" s="2">
        <v>0.769999981</v>
      </c>
      <c r="K946" s="2">
        <v>2.119999886</v>
      </c>
      <c r="L946" s="2">
        <v>0</v>
      </c>
      <c r="M946" s="2">
        <v>70</v>
      </c>
      <c r="N946" s="2">
        <v>33</v>
      </c>
      <c r="O946" s="2">
        <v>132</v>
      </c>
      <c r="P946" s="2">
        <v>726</v>
      </c>
      <c r="Q946" s="2">
        <f t="shared" si="77"/>
        <v>235</v>
      </c>
      <c r="R946" s="2">
        <f t="shared" si="75"/>
        <v>961</v>
      </c>
      <c r="S946" t="str">
        <f t="shared" si="74"/>
        <v>Highly Active</v>
      </c>
      <c r="T946" s="2">
        <v>2781</v>
      </c>
    </row>
    <row r="947" spans="1:20" x14ac:dyDescent="0.25">
      <c r="A947" s="2">
        <v>7086361926</v>
      </c>
      <c r="B947" s="3">
        <v>42487</v>
      </c>
      <c r="C947" t="str">
        <f t="shared" si="76"/>
        <v>Wednesday</v>
      </c>
      <c r="D947" t="str">
        <f t="shared" si="73"/>
        <v>Weekday</v>
      </c>
      <c r="E947" s="2">
        <v>11107</v>
      </c>
      <c r="F947" s="2">
        <v>8.3400001530000001</v>
      </c>
      <c r="G947" s="2">
        <v>8.3400001530000001</v>
      </c>
      <c r="H947" s="2">
        <v>0</v>
      </c>
      <c r="I947" s="2">
        <v>5.6300001139999996</v>
      </c>
      <c r="J947" s="2">
        <v>0.18000000699999999</v>
      </c>
      <c r="K947" s="2">
        <v>2.5299999710000001</v>
      </c>
      <c r="L947" s="2">
        <v>0</v>
      </c>
      <c r="M947" s="2">
        <v>55</v>
      </c>
      <c r="N947" s="2">
        <v>6</v>
      </c>
      <c r="O947" s="2">
        <v>145</v>
      </c>
      <c r="P947" s="2">
        <v>829</v>
      </c>
      <c r="Q947" s="2">
        <f t="shared" si="77"/>
        <v>206</v>
      </c>
      <c r="R947" s="2">
        <f t="shared" si="75"/>
        <v>1035</v>
      </c>
      <c r="S947" t="str">
        <f t="shared" si="74"/>
        <v>Highly Active</v>
      </c>
      <c r="T947" s="2">
        <v>2693</v>
      </c>
    </row>
    <row r="948" spans="1:20" x14ac:dyDescent="0.25">
      <c r="A948" s="2">
        <v>7086361926</v>
      </c>
      <c r="B948" s="3">
        <v>42488</v>
      </c>
      <c r="C948" t="str">
        <f t="shared" si="76"/>
        <v>Thursday</v>
      </c>
      <c r="D948" t="str">
        <f t="shared" si="73"/>
        <v>Weekday</v>
      </c>
      <c r="E948" s="2">
        <v>11584</v>
      </c>
      <c r="F948" s="2">
        <v>7.8000001909999996</v>
      </c>
      <c r="G948" s="2">
        <v>7.8000001909999996</v>
      </c>
      <c r="H948" s="2">
        <v>0</v>
      </c>
      <c r="I948" s="2">
        <v>2.789999962</v>
      </c>
      <c r="J948" s="2">
        <v>1.6399999860000001</v>
      </c>
      <c r="K948" s="2">
        <v>3.3599998950000001</v>
      </c>
      <c r="L948" s="2">
        <v>0</v>
      </c>
      <c r="M948" s="2">
        <v>54</v>
      </c>
      <c r="N948" s="2">
        <v>48</v>
      </c>
      <c r="O948" s="2">
        <v>161</v>
      </c>
      <c r="P948" s="2">
        <v>810</v>
      </c>
      <c r="Q948" s="2">
        <f t="shared" si="77"/>
        <v>263</v>
      </c>
      <c r="R948" s="2">
        <f t="shared" si="75"/>
        <v>1073</v>
      </c>
      <c r="S948" t="str">
        <f t="shared" si="74"/>
        <v>Highly Active</v>
      </c>
      <c r="T948" s="2">
        <v>2862</v>
      </c>
    </row>
    <row r="949" spans="1:20" x14ac:dyDescent="0.25">
      <c r="A949" s="2">
        <v>7086361926</v>
      </c>
      <c r="B949" s="3">
        <v>42489</v>
      </c>
      <c r="C949" t="str">
        <f t="shared" si="76"/>
        <v>Friday</v>
      </c>
      <c r="D949" t="str">
        <f t="shared" si="73"/>
        <v>Weekday</v>
      </c>
      <c r="E949" s="2">
        <v>7881</v>
      </c>
      <c r="F949" s="2">
        <v>4.9499998090000004</v>
      </c>
      <c r="G949" s="2">
        <v>4.9499998090000004</v>
      </c>
      <c r="H949" s="2">
        <v>0</v>
      </c>
      <c r="I949" s="2">
        <v>0.49000000999999999</v>
      </c>
      <c r="J949" s="2">
        <v>0.44999998800000002</v>
      </c>
      <c r="K949" s="2">
        <v>4</v>
      </c>
      <c r="L949" s="2">
        <v>0</v>
      </c>
      <c r="M949" s="2">
        <v>24</v>
      </c>
      <c r="N949" s="2">
        <v>36</v>
      </c>
      <c r="O949" s="2">
        <v>182</v>
      </c>
      <c r="P949" s="2">
        <v>1198</v>
      </c>
      <c r="Q949" s="2">
        <f t="shared" si="77"/>
        <v>242</v>
      </c>
      <c r="R949" s="2">
        <f t="shared" si="75"/>
        <v>1440</v>
      </c>
      <c r="S949" t="str">
        <f t="shared" si="74"/>
        <v>Fairly Active</v>
      </c>
      <c r="T949" s="2">
        <v>2616</v>
      </c>
    </row>
    <row r="950" spans="1:20" x14ac:dyDescent="0.25">
      <c r="A950" s="2">
        <v>7086361926</v>
      </c>
      <c r="B950" s="3">
        <v>42490</v>
      </c>
      <c r="C950" t="str">
        <f t="shared" si="76"/>
        <v>Saturday</v>
      </c>
      <c r="D950" t="str">
        <f t="shared" si="73"/>
        <v>Weekend</v>
      </c>
      <c r="E950" s="2">
        <v>14560</v>
      </c>
      <c r="F950" s="2">
        <v>9.4099998469999999</v>
      </c>
      <c r="G950" s="2">
        <v>9.4099998469999999</v>
      </c>
      <c r="H950" s="2">
        <v>0</v>
      </c>
      <c r="I950" s="2">
        <v>3.119999886</v>
      </c>
      <c r="J950" s="2">
        <v>1.039999962</v>
      </c>
      <c r="K950" s="2">
        <v>5.2399997709999999</v>
      </c>
      <c r="L950" s="2">
        <v>0</v>
      </c>
      <c r="M950" s="2">
        <v>42</v>
      </c>
      <c r="N950" s="2">
        <v>17</v>
      </c>
      <c r="O950" s="2">
        <v>308</v>
      </c>
      <c r="P950" s="2">
        <v>584</v>
      </c>
      <c r="Q950" s="2">
        <f t="shared" si="77"/>
        <v>367</v>
      </c>
      <c r="R950" s="2">
        <f t="shared" si="75"/>
        <v>951</v>
      </c>
      <c r="S950" t="str">
        <f t="shared" si="74"/>
        <v>Highly Active</v>
      </c>
      <c r="T950" s="2">
        <v>2995</v>
      </c>
    </row>
    <row r="951" spans="1:20" x14ac:dyDescent="0.25">
      <c r="A951" s="2">
        <v>7086361926</v>
      </c>
      <c r="B951" s="3">
        <v>42491</v>
      </c>
      <c r="C951" t="str">
        <f t="shared" si="76"/>
        <v>Sunday</v>
      </c>
      <c r="D951" t="str">
        <f t="shared" si="73"/>
        <v>Weekend</v>
      </c>
      <c r="E951" s="2">
        <v>12390</v>
      </c>
      <c r="F951" s="2">
        <v>8.0699996949999999</v>
      </c>
      <c r="G951" s="2">
        <v>8.0699996949999999</v>
      </c>
      <c r="H951" s="2">
        <v>0</v>
      </c>
      <c r="I951" s="2">
        <v>2.2999999519999998</v>
      </c>
      <c r="J951" s="2">
        <v>0.89999997600000003</v>
      </c>
      <c r="K951" s="2">
        <v>4.8499999049999998</v>
      </c>
      <c r="L951" s="2">
        <v>0</v>
      </c>
      <c r="M951" s="2">
        <v>30</v>
      </c>
      <c r="N951" s="2">
        <v>15</v>
      </c>
      <c r="O951" s="2">
        <v>258</v>
      </c>
      <c r="P951" s="2">
        <v>685</v>
      </c>
      <c r="Q951" s="2">
        <f t="shared" si="77"/>
        <v>303</v>
      </c>
      <c r="R951" s="2">
        <f t="shared" si="75"/>
        <v>988</v>
      </c>
      <c r="S951" t="str">
        <f t="shared" si="74"/>
        <v>Highly Active</v>
      </c>
      <c r="T951" s="2">
        <v>2730</v>
      </c>
    </row>
    <row r="952" spans="1:20" x14ac:dyDescent="0.25">
      <c r="A952" s="2">
        <v>7086361926</v>
      </c>
      <c r="B952" s="3">
        <v>42492</v>
      </c>
      <c r="C952" t="str">
        <f t="shared" si="76"/>
        <v>Monday</v>
      </c>
      <c r="D952" t="str">
        <f t="shared" si="73"/>
        <v>Weekday</v>
      </c>
      <c r="E952" s="2">
        <v>10052</v>
      </c>
      <c r="F952" s="2">
        <v>6.8099999430000002</v>
      </c>
      <c r="G952" s="2">
        <v>6.8099999430000002</v>
      </c>
      <c r="H952" s="2">
        <v>0</v>
      </c>
      <c r="I952" s="2">
        <v>3.4800000190000002</v>
      </c>
      <c r="J952" s="2">
        <v>0.66000002599999996</v>
      </c>
      <c r="K952" s="2">
        <v>2.6600000860000002</v>
      </c>
      <c r="L952" s="2">
        <v>0</v>
      </c>
      <c r="M952" s="2">
        <v>66</v>
      </c>
      <c r="N952" s="2">
        <v>26</v>
      </c>
      <c r="O952" s="2">
        <v>139</v>
      </c>
      <c r="P952" s="2">
        <v>737</v>
      </c>
      <c r="Q952" s="2">
        <f t="shared" si="77"/>
        <v>231</v>
      </c>
      <c r="R952" s="2">
        <f t="shared" si="75"/>
        <v>968</v>
      </c>
      <c r="S952" t="str">
        <f t="shared" si="74"/>
        <v>Highly Active</v>
      </c>
      <c r="T952" s="2">
        <v>2754</v>
      </c>
    </row>
    <row r="953" spans="1:20" x14ac:dyDescent="0.25">
      <c r="A953" s="2">
        <v>7086361926</v>
      </c>
      <c r="B953" s="3">
        <v>42493</v>
      </c>
      <c r="C953" t="str">
        <f t="shared" si="76"/>
        <v>Tuesday</v>
      </c>
      <c r="D953" t="str">
        <f t="shared" si="73"/>
        <v>Weekday</v>
      </c>
      <c r="E953" s="2">
        <v>10288</v>
      </c>
      <c r="F953" s="2">
        <v>6.7600002290000001</v>
      </c>
      <c r="G953" s="2">
        <v>6.7600002290000001</v>
      </c>
      <c r="H953" s="2">
        <v>0</v>
      </c>
      <c r="I953" s="2">
        <v>2.7400000100000002</v>
      </c>
      <c r="J953" s="2">
        <v>0.85000002399999997</v>
      </c>
      <c r="K953" s="2">
        <v>3.1600000860000002</v>
      </c>
      <c r="L953" s="2">
        <v>0</v>
      </c>
      <c r="M953" s="2">
        <v>57</v>
      </c>
      <c r="N953" s="2">
        <v>36</v>
      </c>
      <c r="O953" s="2">
        <v>152</v>
      </c>
      <c r="P953" s="2">
        <v>761</v>
      </c>
      <c r="Q953" s="2">
        <f t="shared" si="77"/>
        <v>245</v>
      </c>
      <c r="R953" s="2">
        <f t="shared" si="75"/>
        <v>1006</v>
      </c>
      <c r="S953" t="str">
        <f t="shared" si="74"/>
        <v>Highly Active</v>
      </c>
      <c r="T953" s="2">
        <v>2754</v>
      </c>
    </row>
    <row r="954" spans="1:20" x14ac:dyDescent="0.25">
      <c r="A954" s="2">
        <v>7086361926</v>
      </c>
      <c r="B954" s="3">
        <v>42494</v>
      </c>
      <c r="C954" t="str">
        <f t="shared" si="76"/>
        <v>Wednesday</v>
      </c>
      <c r="D954" t="str">
        <f t="shared" si="73"/>
        <v>Weekday</v>
      </c>
      <c r="E954" s="2">
        <v>10988</v>
      </c>
      <c r="F954" s="2">
        <v>8.3100004199999997</v>
      </c>
      <c r="G954" s="2">
        <v>8.3100004199999997</v>
      </c>
      <c r="H954" s="2">
        <v>0</v>
      </c>
      <c r="I954" s="2">
        <v>5.2800002099999999</v>
      </c>
      <c r="J954" s="2">
        <v>0.119999997</v>
      </c>
      <c r="K954" s="2">
        <v>2.9000000950000002</v>
      </c>
      <c r="L954" s="2">
        <v>0</v>
      </c>
      <c r="M954" s="2">
        <v>45</v>
      </c>
      <c r="N954" s="2">
        <v>12</v>
      </c>
      <c r="O954" s="2">
        <v>135</v>
      </c>
      <c r="P954" s="2">
        <v>843</v>
      </c>
      <c r="Q954" s="2">
        <f t="shared" si="77"/>
        <v>192</v>
      </c>
      <c r="R954" s="2">
        <f t="shared" si="75"/>
        <v>1035</v>
      </c>
      <c r="S954" t="str">
        <f t="shared" si="74"/>
        <v>Highly Active</v>
      </c>
      <c r="T954" s="2">
        <v>2655</v>
      </c>
    </row>
    <row r="955" spans="1:20" x14ac:dyDescent="0.25">
      <c r="A955" s="2">
        <v>7086361926</v>
      </c>
      <c r="B955" s="3">
        <v>42495</v>
      </c>
      <c r="C955" t="str">
        <f t="shared" si="76"/>
        <v>Thursday</v>
      </c>
      <c r="D955" t="str">
        <f t="shared" si="73"/>
        <v>Weekday</v>
      </c>
      <c r="E955" s="2">
        <v>8564</v>
      </c>
      <c r="F955" s="2">
        <v>5.5999999049999998</v>
      </c>
      <c r="G955" s="2">
        <v>5.5999999049999998</v>
      </c>
      <c r="H955" s="2">
        <v>0</v>
      </c>
      <c r="I955" s="2">
        <v>1.7799999710000001</v>
      </c>
      <c r="J955" s="2">
        <v>0.829999983</v>
      </c>
      <c r="K955" s="2">
        <v>2.9500000480000002</v>
      </c>
      <c r="L955" s="2">
        <v>0</v>
      </c>
      <c r="M955" s="2">
        <v>24</v>
      </c>
      <c r="N955" s="2">
        <v>14</v>
      </c>
      <c r="O955" s="2">
        <v>149</v>
      </c>
      <c r="P955" s="2">
        <v>1253</v>
      </c>
      <c r="Q955" s="2">
        <f t="shared" si="77"/>
        <v>187</v>
      </c>
      <c r="R955" s="2">
        <f t="shared" si="75"/>
        <v>1440</v>
      </c>
      <c r="S955" t="str">
        <f t="shared" si="74"/>
        <v>Fairly Active</v>
      </c>
      <c r="T955" s="2">
        <v>2386</v>
      </c>
    </row>
    <row r="956" spans="1:20" x14ac:dyDescent="0.25">
      <c r="A956" s="2">
        <v>7086361926</v>
      </c>
      <c r="B956" s="3">
        <v>42496</v>
      </c>
      <c r="C956" t="str">
        <f t="shared" si="76"/>
        <v>Friday</v>
      </c>
      <c r="D956" t="str">
        <f t="shared" si="73"/>
        <v>Weekday</v>
      </c>
      <c r="E956" s="2">
        <v>12461</v>
      </c>
      <c r="F956" s="2">
        <v>8.3800001139999996</v>
      </c>
      <c r="G956" s="2">
        <v>8.3800001139999996</v>
      </c>
      <c r="H956" s="2">
        <v>0</v>
      </c>
      <c r="I956" s="2">
        <v>3.8199999330000001</v>
      </c>
      <c r="J956" s="2">
        <v>1.4299999480000001</v>
      </c>
      <c r="K956" s="2">
        <v>3.119999886</v>
      </c>
      <c r="L956" s="2">
        <v>0</v>
      </c>
      <c r="M956" s="2">
        <v>84</v>
      </c>
      <c r="N956" s="2">
        <v>35</v>
      </c>
      <c r="O956" s="2">
        <v>154</v>
      </c>
      <c r="P956" s="2">
        <v>834</v>
      </c>
      <c r="Q956" s="2">
        <f t="shared" si="77"/>
        <v>273</v>
      </c>
      <c r="R956" s="2">
        <f t="shared" si="75"/>
        <v>1107</v>
      </c>
      <c r="S956" t="str">
        <f t="shared" si="74"/>
        <v>Highly Active</v>
      </c>
      <c r="T956" s="2">
        <v>2924</v>
      </c>
    </row>
    <row r="957" spans="1:20" x14ac:dyDescent="0.25">
      <c r="A957" s="2">
        <v>7086361926</v>
      </c>
      <c r="B957" s="3">
        <v>42497</v>
      </c>
      <c r="C957" t="str">
        <f t="shared" si="76"/>
        <v>Saturday</v>
      </c>
      <c r="D957" t="str">
        <f t="shared" si="73"/>
        <v>Weekend</v>
      </c>
      <c r="E957" s="2">
        <v>12827</v>
      </c>
      <c r="F957" s="2">
        <v>8.4799995419999998</v>
      </c>
      <c r="G957" s="2">
        <v>8.4799995419999998</v>
      </c>
      <c r="H957" s="2">
        <v>0</v>
      </c>
      <c r="I957" s="2">
        <v>1.460000038</v>
      </c>
      <c r="J957" s="2">
        <v>2.329999924</v>
      </c>
      <c r="K957" s="2">
        <v>4.6799998279999997</v>
      </c>
      <c r="L957" s="2">
        <v>0</v>
      </c>
      <c r="M957" s="2">
        <v>20</v>
      </c>
      <c r="N957" s="2">
        <v>42</v>
      </c>
      <c r="O957" s="2">
        <v>209</v>
      </c>
      <c r="P957" s="2">
        <v>621</v>
      </c>
      <c r="Q957" s="2">
        <f t="shared" si="77"/>
        <v>271</v>
      </c>
      <c r="R957" s="2">
        <f t="shared" si="75"/>
        <v>892</v>
      </c>
      <c r="S957" t="str">
        <f t="shared" si="74"/>
        <v>Highly Active</v>
      </c>
      <c r="T957" s="2">
        <v>2739</v>
      </c>
    </row>
    <row r="958" spans="1:20" x14ac:dyDescent="0.25">
      <c r="A958" s="2">
        <v>7086361926</v>
      </c>
      <c r="B958" s="3">
        <v>42498</v>
      </c>
      <c r="C958" t="str">
        <f t="shared" si="76"/>
        <v>Sunday</v>
      </c>
      <c r="D958" t="str">
        <f t="shared" si="73"/>
        <v>Weekend</v>
      </c>
      <c r="E958" s="2">
        <v>10677</v>
      </c>
      <c r="F958" s="2">
        <v>7.0999999049999998</v>
      </c>
      <c r="G958" s="2">
        <v>7.0999999049999998</v>
      </c>
      <c r="H958" s="2">
        <v>0</v>
      </c>
      <c r="I958" s="2">
        <v>2.3099999430000002</v>
      </c>
      <c r="J958" s="2">
        <v>1.5299999710000001</v>
      </c>
      <c r="K958" s="2">
        <v>3.25</v>
      </c>
      <c r="L958" s="2">
        <v>0</v>
      </c>
      <c r="M958" s="2">
        <v>32</v>
      </c>
      <c r="N958" s="2">
        <v>27</v>
      </c>
      <c r="O958" s="2">
        <v>147</v>
      </c>
      <c r="P958" s="2">
        <v>695</v>
      </c>
      <c r="Q958" s="2">
        <f t="shared" si="77"/>
        <v>206</v>
      </c>
      <c r="R958" s="2">
        <f t="shared" si="75"/>
        <v>901</v>
      </c>
      <c r="S958" t="str">
        <f t="shared" si="74"/>
        <v>Highly Active</v>
      </c>
      <c r="T958" s="2">
        <v>2534</v>
      </c>
    </row>
    <row r="959" spans="1:20" x14ac:dyDescent="0.25">
      <c r="A959" s="2">
        <v>7086361926</v>
      </c>
      <c r="B959" s="3">
        <v>42499</v>
      </c>
      <c r="C959" t="str">
        <f t="shared" si="76"/>
        <v>Monday</v>
      </c>
      <c r="D959" t="str">
        <f t="shared" si="73"/>
        <v>Weekday</v>
      </c>
      <c r="E959" s="2">
        <v>13566</v>
      </c>
      <c r="F959" s="2">
        <v>9.1099996569999995</v>
      </c>
      <c r="G959" s="2">
        <v>9.1099996569999995</v>
      </c>
      <c r="H959" s="2">
        <v>0</v>
      </c>
      <c r="I959" s="2">
        <v>4.2600002290000001</v>
      </c>
      <c r="J959" s="2">
        <v>1.710000038</v>
      </c>
      <c r="K959" s="2">
        <v>3.119999886</v>
      </c>
      <c r="L959" s="2">
        <v>0</v>
      </c>
      <c r="M959" s="2">
        <v>67</v>
      </c>
      <c r="N959" s="2">
        <v>50</v>
      </c>
      <c r="O959" s="2">
        <v>171</v>
      </c>
      <c r="P959" s="2">
        <v>743</v>
      </c>
      <c r="Q959" s="2">
        <f t="shared" si="77"/>
        <v>288</v>
      </c>
      <c r="R959" s="2">
        <f t="shared" si="75"/>
        <v>1031</v>
      </c>
      <c r="S959" t="str">
        <f t="shared" si="74"/>
        <v>Highly Active</v>
      </c>
      <c r="T959" s="2">
        <v>2960</v>
      </c>
    </row>
    <row r="960" spans="1:20" x14ac:dyDescent="0.25">
      <c r="A960" s="2">
        <v>7086361926</v>
      </c>
      <c r="B960" s="3">
        <v>42500</v>
      </c>
      <c r="C960" t="str">
        <f t="shared" si="76"/>
        <v>Tuesday</v>
      </c>
      <c r="D960" t="str">
        <f t="shared" si="73"/>
        <v>Weekday</v>
      </c>
      <c r="E960" s="2">
        <v>14433</v>
      </c>
      <c r="F960" s="2">
        <v>10.789999959999999</v>
      </c>
      <c r="G960" s="2">
        <v>10.789999959999999</v>
      </c>
      <c r="H960" s="2">
        <v>0</v>
      </c>
      <c r="I960" s="2">
        <v>7.1100001339999999</v>
      </c>
      <c r="J960" s="2">
        <v>1.2000000479999999</v>
      </c>
      <c r="K960" s="2">
        <v>2.4500000480000002</v>
      </c>
      <c r="L960" s="2">
        <v>0</v>
      </c>
      <c r="M960" s="2">
        <v>72</v>
      </c>
      <c r="N960" s="2">
        <v>23</v>
      </c>
      <c r="O960" s="2">
        <v>106</v>
      </c>
      <c r="P960" s="2">
        <v>1182</v>
      </c>
      <c r="Q960" s="2">
        <f t="shared" si="77"/>
        <v>201</v>
      </c>
      <c r="R960" s="2">
        <f t="shared" si="75"/>
        <v>1383</v>
      </c>
      <c r="S960" t="str">
        <f t="shared" si="74"/>
        <v>Highly Active</v>
      </c>
      <c r="T960" s="2">
        <v>2800</v>
      </c>
    </row>
    <row r="961" spans="1:20" x14ac:dyDescent="0.25">
      <c r="A961" s="2">
        <v>7086361926</v>
      </c>
      <c r="B961" s="3">
        <v>42501</v>
      </c>
      <c r="C961" t="str">
        <f t="shared" si="76"/>
        <v>Wednesday</v>
      </c>
      <c r="D961" t="str">
        <f t="shared" si="73"/>
        <v>Weekday</v>
      </c>
      <c r="E961" s="2">
        <v>9572</v>
      </c>
      <c r="F961" s="2">
        <v>6.5199999809999998</v>
      </c>
      <c r="G961" s="2">
        <v>6.5199999809999998</v>
      </c>
      <c r="H961" s="2">
        <v>0</v>
      </c>
      <c r="I961" s="2">
        <v>2.8900001049999999</v>
      </c>
      <c r="J961" s="2">
        <v>1.3899999860000001</v>
      </c>
      <c r="K961" s="2">
        <v>2.2300000190000002</v>
      </c>
      <c r="L961" s="2">
        <v>0</v>
      </c>
      <c r="M961" s="2">
        <v>57</v>
      </c>
      <c r="N961" s="2">
        <v>40</v>
      </c>
      <c r="O961" s="2">
        <v>128</v>
      </c>
      <c r="P961" s="2">
        <v>757</v>
      </c>
      <c r="Q961" s="2">
        <f t="shared" si="77"/>
        <v>225</v>
      </c>
      <c r="R961" s="2">
        <f t="shared" si="75"/>
        <v>982</v>
      </c>
      <c r="S961" t="str">
        <f t="shared" si="74"/>
        <v>Fairly Active</v>
      </c>
      <c r="T961" s="2">
        <v>2735</v>
      </c>
    </row>
    <row r="962" spans="1:20" x14ac:dyDescent="0.25">
      <c r="A962" s="2">
        <v>8053475328</v>
      </c>
      <c r="B962" s="3">
        <v>42462</v>
      </c>
      <c r="C962" t="str">
        <f t="shared" si="76"/>
        <v>Saturday</v>
      </c>
      <c r="D962" t="str">
        <f t="shared" si="73"/>
        <v>Weekend</v>
      </c>
      <c r="E962" s="2">
        <v>20188</v>
      </c>
      <c r="F962" s="2">
        <v>15.619999890000001</v>
      </c>
      <c r="G962" s="2">
        <v>15.619999890000001</v>
      </c>
      <c r="H962" s="2">
        <v>0</v>
      </c>
      <c r="I962" s="2">
        <v>12.06000042</v>
      </c>
      <c r="J962" s="2">
        <v>0.85000002399999997</v>
      </c>
      <c r="K962" s="2">
        <v>2.710000038</v>
      </c>
      <c r="L962" s="2">
        <v>0</v>
      </c>
      <c r="M962" s="2">
        <v>124</v>
      </c>
      <c r="N962" s="2">
        <v>19</v>
      </c>
      <c r="O962" s="2">
        <v>172</v>
      </c>
      <c r="P962" s="2">
        <v>1125</v>
      </c>
      <c r="Q962" s="2">
        <f t="shared" si="77"/>
        <v>315</v>
      </c>
      <c r="R962" s="2">
        <f t="shared" si="75"/>
        <v>1440</v>
      </c>
      <c r="S962" t="str">
        <f t="shared" si="74"/>
        <v>Highly Active</v>
      </c>
      <c r="T962" s="2">
        <v>3377</v>
      </c>
    </row>
    <row r="963" spans="1:20" x14ac:dyDescent="0.25">
      <c r="A963" s="2">
        <v>8053475328</v>
      </c>
      <c r="B963" s="3">
        <v>42463</v>
      </c>
      <c r="C963" t="str">
        <f t="shared" si="76"/>
        <v>Sunday</v>
      </c>
      <c r="D963" t="str">
        <f t="shared" ref="D963:D1026" si="78">IF(OR(C963="Saturday", C963="Sunday"), "Weekend", "Weekday")</f>
        <v>Weekend</v>
      </c>
      <c r="E963" s="2">
        <v>25701</v>
      </c>
      <c r="F963" s="2">
        <v>20.13999939</v>
      </c>
      <c r="G963" s="2">
        <v>20.13999939</v>
      </c>
      <c r="H963" s="2">
        <v>0</v>
      </c>
      <c r="I963" s="2">
        <v>16.81999969</v>
      </c>
      <c r="J963" s="2">
        <v>1.6299999949999999</v>
      </c>
      <c r="K963" s="2">
        <v>1.690000057</v>
      </c>
      <c r="L963" s="2">
        <v>0</v>
      </c>
      <c r="M963" s="2">
        <v>165</v>
      </c>
      <c r="N963" s="2">
        <v>36</v>
      </c>
      <c r="O963" s="2">
        <v>97</v>
      </c>
      <c r="P963" s="2">
        <v>1142</v>
      </c>
      <c r="Q963" s="2">
        <f t="shared" si="77"/>
        <v>298</v>
      </c>
      <c r="R963" s="2">
        <f t="shared" si="75"/>
        <v>1440</v>
      </c>
      <c r="S963" t="str">
        <f t="shared" ref="S963:S1026" si="79">IF(E963&lt;5000, "Sedentary", IF(E963&lt;7500, "Lightly Active", IF(E963&lt;10000, "Fairly Active", "Highly Active")))</f>
        <v>Highly Active</v>
      </c>
      <c r="T963" s="2">
        <v>3697</v>
      </c>
    </row>
    <row r="964" spans="1:20" x14ac:dyDescent="0.25">
      <c r="A964" s="2">
        <v>8053475328</v>
      </c>
      <c r="B964" s="3">
        <v>42464</v>
      </c>
      <c r="C964" t="str">
        <f t="shared" si="76"/>
        <v>Monday</v>
      </c>
      <c r="D964" t="str">
        <f t="shared" si="78"/>
        <v>Weekday</v>
      </c>
      <c r="E964" s="2">
        <v>17395</v>
      </c>
      <c r="F964" s="2">
        <v>13.210000040000001</v>
      </c>
      <c r="G964" s="2">
        <v>13.210000040000001</v>
      </c>
      <c r="H964" s="2">
        <v>0</v>
      </c>
      <c r="I964" s="2">
        <v>9.6700000760000009</v>
      </c>
      <c r="J964" s="2">
        <v>0.18000000699999999</v>
      </c>
      <c r="K964" s="2">
        <v>3.3499999049999998</v>
      </c>
      <c r="L964" s="2">
        <v>0</v>
      </c>
      <c r="M964" s="2">
        <v>100</v>
      </c>
      <c r="N964" s="2">
        <v>4</v>
      </c>
      <c r="O964" s="2">
        <v>213</v>
      </c>
      <c r="P964" s="2">
        <v>1123</v>
      </c>
      <c r="Q964" s="2">
        <f t="shared" si="77"/>
        <v>317</v>
      </c>
      <c r="R964" s="2">
        <f t="shared" si="75"/>
        <v>1440</v>
      </c>
      <c r="S964" t="str">
        <f t="shared" si="79"/>
        <v>Highly Active</v>
      </c>
      <c r="T964" s="2">
        <v>3209</v>
      </c>
    </row>
    <row r="965" spans="1:20" x14ac:dyDescent="0.25">
      <c r="A965" s="2">
        <v>8053475328</v>
      </c>
      <c r="B965" s="3">
        <v>42465</v>
      </c>
      <c r="C965" t="str">
        <f t="shared" si="76"/>
        <v>Tuesday</v>
      </c>
      <c r="D965" t="str">
        <f t="shared" si="78"/>
        <v>Weekday</v>
      </c>
      <c r="E965" s="2">
        <v>17167</v>
      </c>
      <c r="F965" s="2">
        <v>13.40999985</v>
      </c>
      <c r="G965" s="2">
        <v>13.40999985</v>
      </c>
      <c r="H965" s="2">
        <v>0</v>
      </c>
      <c r="I965" s="2">
        <v>9.9600000380000004</v>
      </c>
      <c r="J965" s="2">
        <v>0.310000002</v>
      </c>
      <c r="K965" s="2">
        <v>3.1400001049999999</v>
      </c>
      <c r="L965" s="2">
        <v>0</v>
      </c>
      <c r="M965" s="2">
        <v>98</v>
      </c>
      <c r="N965" s="2">
        <v>8</v>
      </c>
      <c r="O965" s="2">
        <v>184</v>
      </c>
      <c r="P965" s="2">
        <v>1150</v>
      </c>
      <c r="Q965" s="2">
        <f t="shared" si="77"/>
        <v>290</v>
      </c>
      <c r="R965" s="2">
        <f t="shared" si="75"/>
        <v>1440</v>
      </c>
      <c r="S965" t="str">
        <f t="shared" si="79"/>
        <v>Highly Active</v>
      </c>
      <c r="T965" s="2">
        <v>3167</v>
      </c>
    </row>
    <row r="966" spans="1:20" x14ac:dyDescent="0.25">
      <c r="A966" s="2">
        <v>8053475328</v>
      </c>
      <c r="B966" s="3">
        <v>42466</v>
      </c>
      <c r="C966" t="str">
        <f t="shared" si="76"/>
        <v>Wednesday</v>
      </c>
      <c r="D966" t="str">
        <f t="shared" si="78"/>
        <v>Weekday</v>
      </c>
      <c r="E966" s="2">
        <v>16435</v>
      </c>
      <c r="F966" s="2">
        <v>12.420000079999999</v>
      </c>
      <c r="G966" s="2">
        <v>12.420000079999999</v>
      </c>
      <c r="H966" s="2">
        <v>0</v>
      </c>
      <c r="I966" s="2">
        <v>8.9600000380000004</v>
      </c>
      <c r="J966" s="2">
        <v>0.55000001200000004</v>
      </c>
      <c r="K966" s="2">
        <v>2.9100000860000002</v>
      </c>
      <c r="L966" s="2">
        <v>0</v>
      </c>
      <c r="M966" s="2">
        <v>100</v>
      </c>
      <c r="N966" s="2">
        <v>14</v>
      </c>
      <c r="O966" s="2">
        <v>191</v>
      </c>
      <c r="P966" s="2">
        <v>1135</v>
      </c>
      <c r="Q966" s="2">
        <f t="shared" si="77"/>
        <v>305</v>
      </c>
      <c r="R966" s="2">
        <f t="shared" si="75"/>
        <v>1440</v>
      </c>
      <c r="S966" t="str">
        <f t="shared" si="79"/>
        <v>Highly Active</v>
      </c>
      <c r="T966" s="2">
        <v>3122</v>
      </c>
    </row>
    <row r="967" spans="1:20" x14ac:dyDescent="0.25">
      <c r="A967" s="2">
        <v>8053475328</v>
      </c>
      <c r="B967" s="3">
        <v>42467</v>
      </c>
      <c r="C967" t="str">
        <f t="shared" si="76"/>
        <v>Thursday</v>
      </c>
      <c r="D967" t="str">
        <f t="shared" si="78"/>
        <v>Weekday</v>
      </c>
      <c r="E967" s="2">
        <v>17078</v>
      </c>
      <c r="F967" s="2">
        <v>13.19999981</v>
      </c>
      <c r="G967" s="2">
        <v>13.19999981</v>
      </c>
      <c r="H967" s="2">
        <v>0</v>
      </c>
      <c r="I967" s="2">
        <v>9.9700002669999996</v>
      </c>
      <c r="J967" s="2">
        <v>0.23999999499999999</v>
      </c>
      <c r="K967" s="2">
        <v>2.9900000100000002</v>
      </c>
      <c r="L967" s="2">
        <v>0</v>
      </c>
      <c r="M967" s="2">
        <v>101</v>
      </c>
      <c r="N967" s="2">
        <v>6</v>
      </c>
      <c r="O967" s="2">
        <v>190</v>
      </c>
      <c r="P967" s="2">
        <v>1143</v>
      </c>
      <c r="Q967" s="2">
        <f t="shared" si="77"/>
        <v>297</v>
      </c>
      <c r="R967" s="2">
        <f t="shared" si="75"/>
        <v>1440</v>
      </c>
      <c r="S967" t="str">
        <f t="shared" si="79"/>
        <v>Highly Active</v>
      </c>
      <c r="T967" s="2">
        <v>3176</v>
      </c>
    </row>
    <row r="968" spans="1:20" x14ac:dyDescent="0.25">
      <c r="A968" s="2">
        <v>8053475328</v>
      </c>
      <c r="B968" s="3">
        <v>42468</v>
      </c>
      <c r="C968" t="str">
        <f t="shared" si="76"/>
        <v>Friday</v>
      </c>
      <c r="D968" t="str">
        <f t="shared" si="78"/>
        <v>Weekday</v>
      </c>
      <c r="E968" s="2">
        <v>11693</v>
      </c>
      <c r="F968" s="2">
        <v>9.5399999619999996</v>
      </c>
      <c r="G968" s="2">
        <v>9.5399999619999996</v>
      </c>
      <c r="H968" s="2">
        <v>0</v>
      </c>
      <c r="I968" s="2">
        <v>6.7699999809999998</v>
      </c>
      <c r="J968" s="2">
        <v>0.25999999000000001</v>
      </c>
      <c r="K968" s="2">
        <v>2.5</v>
      </c>
      <c r="L968" s="2">
        <v>0</v>
      </c>
      <c r="M968" s="2">
        <v>60</v>
      </c>
      <c r="N968" s="2">
        <v>6</v>
      </c>
      <c r="O968" s="2">
        <v>153</v>
      </c>
      <c r="P968" s="2">
        <v>1221</v>
      </c>
      <c r="Q968" s="2">
        <f t="shared" si="77"/>
        <v>219</v>
      </c>
      <c r="R968" s="2">
        <f t="shared" si="75"/>
        <v>1440</v>
      </c>
      <c r="S968" t="str">
        <f t="shared" si="79"/>
        <v>Highly Active</v>
      </c>
      <c r="T968" s="2">
        <v>2790</v>
      </c>
    </row>
    <row r="969" spans="1:20" x14ac:dyDescent="0.25">
      <c r="A969" s="2">
        <v>8053475328</v>
      </c>
      <c r="B969" s="3">
        <v>42469</v>
      </c>
      <c r="C969" t="str">
        <f t="shared" si="76"/>
        <v>Saturday</v>
      </c>
      <c r="D969" t="str">
        <f t="shared" si="78"/>
        <v>Weekend</v>
      </c>
      <c r="E969" s="2">
        <v>11159</v>
      </c>
      <c r="F969" s="2">
        <v>9.1400003430000005</v>
      </c>
      <c r="G969" s="2">
        <v>9.1400003430000005</v>
      </c>
      <c r="H969" s="2">
        <v>0</v>
      </c>
      <c r="I969" s="2">
        <v>6.6900000569999998</v>
      </c>
      <c r="J969" s="2">
        <v>0.25</v>
      </c>
      <c r="K969" s="2">
        <v>2.1900000569999998</v>
      </c>
      <c r="L969" s="2">
        <v>0</v>
      </c>
      <c r="M969" s="2">
        <v>59</v>
      </c>
      <c r="N969" s="2">
        <v>6</v>
      </c>
      <c r="O969" s="2">
        <v>120</v>
      </c>
      <c r="P969" s="2">
        <v>1255</v>
      </c>
      <c r="Q969" s="2">
        <f t="shared" si="77"/>
        <v>185</v>
      </c>
      <c r="R969" s="2">
        <f t="shared" si="75"/>
        <v>1440</v>
      </c>
      <c r="S969" t="str">
        <f t="shared" si="79"/>
        <v>Highly Active</v>
      </c>
      <c r="T969" s="2">
        <v>2715</v>
      </c>
    </row>
    <row r="970" spans="1:20" x14ac:dyDescent="0.25">
      <c r="A970" s="2">
        <v>8053475328</v>
      </c>
      <c r="B970" s="3">
        <v>42470</v>
      </c>
      <c r="C970" t="str">
        <f t="shared" si="76"/>
        <v>Sunday</v>
      </c>
      <c r="D970" t="str">
        <f t="shared" si="78"/>
        <v>Weekend</v>
      </c>
      <c r="E970" s="2">
        <v>10118</v>
      </c>
      <c r="F970" s="2">
        <v>7.7300000190000002</v>
      </c>
      <c r="G970" s="2">
        <v>7.7300000190000002</v>
      </c>
      <c r="H970" s="2">
        <v>0</v>
      </c>
      <c r="I970" s="2">
        <v>3.0499999519999998</v>
      </c>
      <c r="J970" s="2">
        <v>0.80000001200000004</v>
      </c>
      <c r="K970" s="2">
        <v>3.880000114</v>
      </c>
      <c r="L970" s="2">
        <v>0</v>
      </c>
      <c r="M970" s="2">
        <v>30</v>
      </c>
      <c r="N970" s="2">
        <v>18</v>
      </c>
      <c r="O970" s="2">
        <v>207</v>
      </c>
      <c r="P970" s="2">
        <v>1185</v>
      </c>
      <c r="Q970" s="2">
        <f t="shared" si="77"/>
        <v>255</v>
      </c>
      <c r="R970" s="2">
        <f t="shared" si="75"/>
        <v>1440</v>
      </c>
      <c r="S970" t="str">
        <f t="shared" si="79"/>
        <v>Highly Active</v>
      </c>
      <c r="T970" s="2">
        <v>2684</v>
      </c>
    </row>
    <row r="971" spans="1:20" x14ac:dyDescent="0.25">
      <c r="A971" s="2">
        <v>8053475328</v>
      </c>
      <c r="B971" s="3">
        <v>42471</v>
      </c>
      <c r="C971" t="str">
        <f t="shared" si="76"/>
        <v>Monday</v>
      </c>
      <c r="D971" t="str">
        <f t="shared" si="78"/>
        <v>Weekday</v>
      </c>
      <c r="E971" s="2">
        <v>16064</v>
      </c>
      <c r="F971" s="2">
        <v>12.72000027</v>
      </c>
      <c r="G971" s="2">
        <v>12.72000027</v>
      </c>
      <c r="H971" s="2">
        <v>0</v>
      </c>
      <c r="I971" s="2">
        <v>9.9799995419999998</v>
      </c>
      <c r="J971" s="2">
        <v>0.36000001399999998</v>
      </c>
      <c r="K971" s="2">
        <v>2.380000114</v>
      </c>
      <c r="L971" s="2">
        <v>0</v>
      </c>
      <c r="M971" s="2">
        <v>96</v>
      </c>
      <c r="N971" s="2">
        <v>8</v>
      </c>
      <c r="O971" s="2">
        <v>155</v>
      </c>
      <c r="P971" s="2">
        <v>1181</v>
      </c>
      <c r="Q971" s="2">
        <f t="shared" si="77"/>
        <v>259</v>
      </c>
      <c r="R971" s="2">
        <f t="shared" si="75"/>
        <v>1440</v>
      </c>
      <c r="S971" t="str">
        <f t="shared" si="79"/>
        <v>Highly Active</v>
      </c>
      <c r="T971" s="2">
        <v>3097</v>
      </c>
    </row>
    <row r="972" spans="1:20" x14ac:dyDescent="0.25">
      <c r="A972" s="2">
        <v>8053475328</v>
      </c>
      <c r="B972" s="3">
        <v>42472</v>
      </c>
      <c r="C972" t="str">
        <f t="shared" si="76"/>
        <v>Tuesday</v>
      </c>
      <c r="D972" t="str">
        <f t="shared" si="78"/>
        <v>Weekday</v>
      </c>
      <c r="E972" s="2">
        <v>290</v>
      </c>
      <c r="F972" s="2">
        <v>0.209999993</v>
      </c>
      <c r="G972" s="2">
        <v>0.209999993</v>
      </c>
      <c r="H972" s="2">
        <v>0</v>
      </c>
      <c r="I972" s="2">
        <v>0</v>
      </c>
      <c r="J972" s="2">
        <v>0</v>
      </c>
      <c r="K972" s="2">
        <v>0.209999993</v>
      </c>
      <c r="L972" s="2">
        <v>0</v>
      </c>
      <c r="M972" s="2">
        <v>0</v>
      </c>
      <c r="N972" s="2">
        <v>0</v>
      </c>
      <c r="O972" s="2">
        <v>16</v>
      </c>
      <c r="P972" s="2">
        <v>599</v>
      </c>
      <c r="Q972" s="2">
        <f t="shared" si="77"/>
        <v>16</v>
      </c>
      <c r="R972" s="2">
        <f t="shared" si="75"/>
        <v>615</v>
      </c>
      <c r="S972" t="str">
        <f t="shared" si="79"/>
        <v>Sedentary</v>
      </c>
      <c r="T972" s="2">
        <v>791</v>
      </c>
    </row>
    <row r="973" spans="1:20" x14ac:dyDescent="0.25">
      <c r="A973" s="2">
        <v>8053475328</v>
      </c>
      <c r="B973" s="3">
        <v>42473</v>
      </c>
      <c r="C973" t="str">
        <f t="shared" si="76"/>
        <v>Wednesday</v>
      </c>
      <c r="D973" t="str">
        <f t="shared" si="78"/>
        <v>Weekday</v>
      </c>
      <c r="E973" s="2">
        <v>16433</v>
      </c>
      <c r="F973" s="2">
        <v>13.350000380000001</v>
      </c>
      <c r="G973" s="2">
        <v>13.350000380000001</v>
      </c>
      <c r="H973" s="2">
        <v>0</v>
      </c>
      <c r="I973" s="2">
        <v>10.43000031</v>
      </c>
      <c r="J973" s="2">
        <v>0.469999999</v>
      </c>
      <c r="K973" s="2">
        <v>2.4500000480000002</v>
      </c>
      <c r="L973" s="2">
        <v>0</v>
      </c>
      <c r="M973" s="2">
        <v>95</v>
      </c>
      <c r="N973" s="2">
        <v>12</v>
      </c>
      <c r="O973" s="2">
        <v>156</v>
      </c>
      <c r="P973" s="2">
        <v>1177</v>
      </c>
      <c r="Q973" s="2">
        <f t="shared" si="77"/>
        <v>263</v>
      </c>
      <c r="R973" s="2">
        <f t="shared" si="75"/>
        <v>1440</v>
      </c>
      <c r="S973" t="str">
        <f t="shared" si="79"/>
        <v>Highly Active</v>
      </c>
      <c r="T973" s="2">
        <v>3140</v>
      </c>
    </row>
    <row r="974" spans="1:20" x14ac:dyDescent="0.25">
      <c r="A974" s="2">
        <v>8053475328</v>
      </c>
      <c r="B974" s="3">
        <v>42474</v>
      </c>
      <c r="C974" t="str">
        <f t="shared" si="76"/>
        <v>Thursday</v>
      </c>
      <c r="D974" t="str">
        <f t="shared" si="78"/>
        <v>Weekday</v>
      </c>
      <c r="E974" s="2">
        <v>20159</v>
      </c>
      <c r="F974" s="2">
        <v>15.97000027</v>
      </c>
      <c r="G974" s="2">
        <v>15.97000027</v>
      </c>
      <c r="H974" s="2">
        <v>0</v>
      </c>
      <c r="I974" s="2">
        <v>12.34000015</v>
      </c>
      <c r="J974" s="2">
        <v>0.209999993</v>
      </c>
      <c r="K974" s="2">
        <v>3.3599998950000001</v>
      </c>
      <c r="L974" s="2">
        <v>0</v>
      </c>
      <c r="M974" s="2">
        <v>119</v>
      </c>
      <c r="N974" s="2">
        <v>5</v>
      </c>
      <c r="O974" s="2">
        <v>193</v>
      </c>
      <c r="P974" s="2">
        <v>1123</v>
      </c>
      <c r="Q974" s="2">
        <f t="shared" si="77"/>
        <v>317</v>
      </c>
      <c r="R974" s="2">
        <f t="shared" si="75"/>
        <v>1440</v>
      </c>
      <c r="S974" t="str">
        <f t="shared" si="79"/>
        <v>Highly Active</v>
      </c>
      <c r="T974" s="2">
        <v>3411</v>
      </c>
    </row>
    <row r="975" spans="1:20" x14ac:dyDescent="0.25">
      <c r="A975" s="2">
        <v>8053475328</v>
      </c>
      <c r="B975" s="3">
        <v>42475</v>
      </c>
      <c r="C975" t="str">
        <f t="shared" si="76"/>
        <v>Friday</v>
      </c>
      <c r="D975" t="str">
        <f t="shared" si="78"/>
        <v>Weekday</v>
      </c>
      <c r="E975" s="2">
        <v>20669</v>
      </c>
      <c r="F975" s="2">
        <v>16.239999770000001</v>
      </c>
      <c r="G975" s="2">
        <v>16.239999770000001</v>
      </c>
      <c r="H975" s="2">
        <v>0</v>
      </c>
      <c r="I975" s="2">
        <v>13.260000229999999</v>
      </c>
      <c r="J975" s="2">
        <v>0.38999998600000002</v>
      </c>
      <c r="K975" s="2">
        <v>2.5899999139999998</v>
      </c>
      <c r="L975" s="2">
        <v>0</v>
      </c>
      <c r="M975" s="2">
        <v>132</v>
      </c>
      <c r="N975" s="2">
        <v>8</v>
      </c>
      <c r="O975" s="2">
        <v>158</v>
      </c>
      <c r="P975" s="2">
        <v>1142</v>
      </c>
      <c r="Q975" s="2">
        <f t="shared" si="77"/>
        <v>298</v>
      </c>
      <c r="R975" s="2">
        <f t="shared" si="75"/>
        <v>1440</v>
      </c>
      <c r="S975" t="str">
        <f t="shared" si="79"/>
        <v>Highly Active</v>
      </c>
      <c r="T975" s="2">
        <v>3410</v>
      </c>
    </row>
    <row r="976" spans="1:20" x14ac:dyDescent="0.25">
      <c r="A976" s="2">
        <v>8053475328</v>
      </c>
      <c r="B976" s="3">
        <v>42476</v>
      </c>
      <c r="C976" t="str">
        <f t="shared" si="76"/>
        <v>Saturday</v>
      </c>
      <c r="D976" t="str">
        <f t="shared" si="78"/>
        <v>Weekend</v>
      </c>
      <c r="E976" s="2">
        <v>14549</v>
      </c>
      <c r="F976" s="2">
        <v>11.10999966</v>
      </c>
      <c r="G976" s="2">
        <v>11.10999966</v>
      </c>
      <c r="H976" s="2">
        <v>0</v>
      </c>
      <c r="I976" s="2">
        <v>9.3599996569999995</v>
      </c>
      <c r="J976" s="2">
        <v>0.27000001099999998</v>
      </c>
      <c r="K976" s="2">
        <v>1.4900000099999999</v>
      </c>
      <c r="L976" s="2">
        <v>0</v>
      </c>
      <c r="M976" s="2">
        <v>96</v>
      </c>
      <c r="N976" s="2">
        <v>6</v>
      </c>
      <c r="O976" s="2">
        <v>83</v>
      </c>
      <c r="P976" s="2">
        <v>1255</v>
      </c>
      <c r="Q976" s="2">
        <f t="shared" si="77"/>
        <v>185</v>
      </c>
      <c r="R976" s="2">
        <f t="shared" si="75"/>
        <v>1440</v>
      </c>
      <c r="S976" t="str">
        <f t="shared" si="79"/>
        <v>Highly Active</v>
      </c>
      <c r="T976" s="2">
        <v>2867</v>
      </c>
    </row>
    <row r="977" spans="1:20" x14ac:dyDescent="0.25">
      <c r="A977" s="2">
        <v>8053475328</v>
      </c>
      <c r="B977" s="3">
        <v>42477</v>
      </c>
      <c r="C977" t="str">
        <f t="shared" si="76"/>
        <v>Sunday</v>
      </c>
      <c r="D977" t="str">
        <f t="shared" si="78"/>
        <v>Weekend</v>
      </c>
      <c r="E977" s="2">
        <v>18827</v>
      </c>
      <c r="F977" s="2">
        <v>13.68999958</v>
      </c>
      <c r="G977" s="2">
        <v>13.68999958</v>
      </c>
      <c r="H977" s="2">
        <v>0</v>
      </c>
      <c r="I977" s="2">
        <v>9.2399997710000008</v>
      </c>
      <c r="J977" s="2">
        <v>0.80000001200000004</v>
      </c>
      <c r="K977" s="2">
        <v>3.6400001049999999</v>
      </c>
      <c r="L977" s="2">
        <v>0</v>
      </c>
      <c r="M977" s="2">
        <v>111</v>
      </c>
      <c r="N977" s="2">
        <v>21</v>
      </c>
      <c r="O977" s="2">
        <v>195</v>
      </c>
      <c r="P977" s="2">
        <v>1113</v>
      </c>
      <c r="Q977" s="2">
        <f t="shared" si="77"/>
        <v>327</v>
      </c>
      <c r="R977" s="2">
        <f t="shared" si="75"/>
        <v>1440</v>
      </c>
      <c r="S977" t="str">
        <f t="shared" si="79"/>
        <v>Highly Active</v>
      </c>
      <c r="T977" s="2">
        <v>3213</v>
      </c>
    </row>
    <row r="978" spans="1:20" x14ac:dyDescent="0.25">
      <c r="A978" s="2">
        <v>8053475328</v>
      </c>
      <c r="B978" s="3">
        <v>42478</v>
      </c>
      <c r="C978" t="str">
        <f t="shared" si="76"/>
        <v>Monday</v>
      </c>
      <c r="D978" t="str">
        <f t="shared" si="78"/>
        <v>Weekday</v>
      </c>
      <c r="E978" s="2">
        <v>17076</v>
      </c>
      <c r="F978" s="2">
        <v>12.65999985</v>
      </c>
      <c r="G978" s="2">
        <v>12.65999985</v>
      </c>
      <c r="H978" s="2">
        <v>0</v>
      </c>
      <c r="I978" s="2">
        <v>9.0799999239999991</v>
      </c>
      <c r="J978" s="2">
        <v>0.23000000400000001</v>
      </c>
      <c r="K978" s="2">
        <v>3.3499999049999998</v>
      </c>
      <c r="L978" s="2">
        <v>0</v>
      </c>
      <c r="M978" s="2">
        <v>102</v>
      </c>
      <c r="N978" s="2">
        <v>6</v>
      </c>
      <c r="O978" s="2">
        <v>195</v>
      </c>
      <c r="P978" s="2">
        <v>1137</v>
      </c>
      <c r="Q978" s="2">
        <f t="shared" si="77"/>
        <v>303</v>
      </c>
      <c r="R978" s="2">
        <f t="shared" si="75"/>
        <v>1440</v>
      </c>
      <c r="S978" t="str">
        <f t="shared" si="79"/>
        <v>Highly Active</v>
      </c>
      <c r="T978" s="2">
        <v>3133</v>
      </c>
    </row>
    <row r="979" spans="1:20" x14ac:dyDescent="0.25">
      <c r="A979" s="2">
        <v>8053475328</v>
      </c>
      <c r="B979" s="3">
        <v>42479</v>
      </c>
      <c r="C979" t="str">
        <f t="shared" si="76"/>
        <v>Tuesday</v>
      </c>
      <c r="D979" t="str">
        <f t="shared" si="78"/>
        <v>Weekday</v>
      </c>
      <c r="E979" s="2">
        <v>15929</v>
      </c>
      <c r="F979" s="2">
        <v>12.47999954</v>
      </c>
      <c r="G979" s="2">
        <v>12.47999954</v>
      </c>
      <c r="H979" s="2">
        <v>0</v>
      </c>
      <c r="I979" s="2">
        <v>9.2200002669999996</v>
      </c>
      <c r="J979" s="2">
        <v>0.310000002</v>
      </c>
      <c r="K979" s="2">
        <v>2.9500000480000002</v>
      </c>
      <c r="L979" s="2">
        <v>0</v>
      </c>
      <c r="M979" s="2">
        <v>90</v>
      </c>
      <c r="N979" s="2">
        <v>7</v>
      </c>
      <c r="O979" s="2">
        <v>191</v>
      </c>
      <c r="P979" s="2">
        <v>1152</v>
      </c>
      <c r="Q979" s="2">
        <f t="shared" si="77"/>
        <v>288</v>
      </c>
      <c r="R979" s="2">
        <f t="shared" si="75"/>
        <v>1440</v>
      </c>
      <c r="S979" t="str">
        <f t="shared" si="79"/>
        <v>Highly Active</v>
      </c>
      <c r="T979" s="2">
        <v>3114</v>
      </c>
    </row>
    <row r="980" spans="1:20" x14ac:dyDescent="0.25">
      <c r="A980" s="2">
        <v>8053475328</v>
      </c>
      <c r="B980" s="3">
        <v>42480</v>
      </c>
      <c r="C980" t="str">
        <f t="shared" si="76"/>
        <v>Wednesday</v>
      </c>
      <c r="D980" t="str">
        <f t="shared" si="78"/>
        <v>Weekday</v>
      </c>
      <c r="E980" s="2">
        <v>15108</v>
      </c>
      <c r="F980" s="2">
        <v>12.18999958</v>
      </c>
      <c r="G980" s="2">
        <v>12.18999958</v>
      </c>
      <c r="H980" s="2">
        <v>0</v>
      </c>
      <c r="I980" s="2">
        <v>9.5799999239999991</v>
      </c>
      <c r="J980" s="2">
        <v>0.23000000400000001</v>
      </c>
      <c r="K980" s="2">
        <v>2.380000114</v>
      </c>
      <c r="L980" s="2">
        <v>0</v>
      </c>
      <c r="M980" s="2">
        <v>89</v>
      </c>
      <c r="N980" s="2">
        <v>5</v>
      </c>
      <c r="O980" s="2">
        <v>158</v>
      </c>
      <c r="P980" s="2">
        <v>695</v>
      </c>
      <c r="Q980" s="2">
        <f t="shared" si="77"/>
        <v>252</v>
      </c>
      <c r="R980" s="2">
        <f t="shared" ref="R980:R1042" si="80">SUM(M980:P980)</f>
        <v>947</v>
      </c>
      <c r="S980" t="str">
        <f t="shared" si="79"/>
        <v>Highly Active</v>
      </c>
      <c r="T980" s="2">
        <v>3043</v>
      </c>
    </row>
    <row r="981" spans="1:20" x14ac:dyDescent="0.25">
      <c r="A981" s="2">
        <v>8053475328</v>
      </c>
      <c r="B981" s="3">
        <v>42481</v>
      </c>
      <c r="C981" t="str">
        <f t="shared" si="76"/>
        <v>Thursday</v>
      </c>
      <c r="D981" t="str">
        <f t="shared" si="78"/>
        <v>Weekday</v>
      </c>
      <c r="E981" s="2">
        <v>16057</v>
      </c>
      <c r="F981" s="2">
        <v>12.510000229999999</v>
      </c>
      <c r="G981" s="2">
        <v>12.510000229999999</v>
      </c>
      <c r="H981" s="2">
        <v>0</v>
      </c>
      <c r="I981" s="2">
        <v>9.6700000760000009</v>
      </c>
      <c r="J981" s="2">
        <v>0.25</v>
      </c>
      <c r="K981" s="2">
        <v>2.579999924</v>
      </c>
      <c r="L981" s="2">
        <v>0</v>
      </c>
      <c r="M981" s="2">
        <v>100</v>
      </c>
      <c r="N981" s="2">
        <v>6</v>
      </c>
      <c r="O981" s="2">
        <v>170</v>
      </c>
      <c r="P981" s="2">
        <v>1164</v>
      </c>
      <c r="Q981" s="2">
        <f t="shared" si="77"/>
        <v>276</v>
      </c>
      <c r="R981" s="2">
        <f t="shared" si="80"/>
        <v>1440</v>
      </c>
      <c r="S981" t="str">
        <f t="shared" si="79"/>
        <v>Highly Active</v>
      </c>
      <c r="T981" s="2">
        <v>3103</v>
      </c>
    </row>
    <row r="982" spans="1:20" x14ac:dyDescent="0.25">
      <c r="A982" s="2">
        <v>8053475328</v>
      </c>
      <c r="B982" s="3">
        <v>42482</v>
      </c>
      <c r="C982" t="str">
        <f t="shared" si="76"/>
        <v>Friday</v>
      </c>
      <c r="D982" t="str">
        <f t="shared" si="78"/>
        <v>Weekday</v>
      </c>
      <c r="E982" s="2">
        <v>10520</v>
      </c>
      <c r="F982" s="2">
        <v>8.2899999619999996</v>
      </c>
      <c r="G982" s="2">
        <v>8.2899999619999996</v>
      </c>
      <c r="H982" s="2">
        <v>0</v>
      </c>
      <c r="I982" s="2">
        <v>6.2600002290000001</v>
      </c>
      <c r="J982" s="2">
        <v>0.15000000599999999</v>
      </c>
      <c r="K982" s="2">
        <v>1.8799999949999999</v>
      </c>
      <c r="L982" s="2">
        <v>0</v>
      </c>
      <c r="M982" s="2">
        <v>60</v>
      </c>
      <c r="N982" s="2">
        <v>3</v>
      </c>
      <c r="O982" s="2">
        <v>117</v>
      </c>
      <c r="P982" s="2">
        <v>1260</v>
      </c>
      <c r="Q982" s="2">
        <f t="shared" si="77"/>
        <v>180</v>
      </c>
      <c r="R982" s="2">
        <f t="shared" si="80"/>
        <v>1440</v>
      </c>
      <c r="S982" t="str">
        <f t="shared" si="79"/>
        <v>Highly Active</v>
      </c>
      <c r="T982" s="2">
        <v>2655</v>
      </c>
    </row>
    <row r="983" spans="1:20" x14ac:dyDescent="0.25">
      <c r="A983" s="2">
        <v>8053475328</v>
      </c>
      <c r="B983" s="3">
        <v>42483</v>
      </c>
      <c r="C983" t="str">
        <f t="shared" si="76"/>
        <v>Saturday</v>
      </c>
      <c r="D983" t="str">
        <f t="shared" si="78"/>
        <v>Weekend</v>
      </c>
      <c r="E983" s="2">
        <v>22359</v>
      </c>
      <c r="F983" s="2">
        <v>17.190000529999999</v>
      </c>
      <c r="G983" s="2">
        <v>17.190000529999999</v>
      </c>
      <c r="H983" s="2">
        <v>0</v>
      </c>
      <c r="I983" s="2">
        <v>12.539999959999999</v>
      </c>
      <c r="J983" s="2">
        <v>0.62999999500000003</v>
      </c>
      <c r="K983" s="2">
        <v>4.0199999809999998</v>
      </c>
      <c r="L983" s="2">
        <v>0</v>
      </c>
      <c r="M983" s="2">
        <v>125</v>
      </c>
      <c r="N983" s="2">
        <v>14</v>
      </c>
      <c r="O983" s="2">
        <v>223</v>
      </c>
      <c r="P983" s="2">
        <v>741</v>
      </c>
      <c r="Q983" s="2">
        <f t="shared" si="77"/>
        <v>362</v>
      </c>
      <c r="R983" s="2">
        <f t="shared" si="80"/>
        <v>1103</v>
      </c>
      <c r="S983" t="str">
        <f t="shared" si="79"/>
        <v>Highly Active</v>
      </c>
      <c r="T983" s="2">
        <v>3554</v>
      </c>
    </row>
    <row r="984" spans="1:20" x14ac:dyDescent="0.25">
      <c r="A984" s="2">
        <v>8053475328</v>
      </c>
      <c r="B984" s="3">
        <v>42484</v>
      </c>
      <c r="C984" t="str">
        <f t="shared" si="76"/>
        <v>Sunday</v>
      </c>
      <c r="D984" t="str">
        <f t="shared" si="78"/>
        <v>Weekend</v>
      </c>
      <c r="E984" s="2">
        <v>22988</v>
      </c>
      <c r="F984" s="2">
        <v>17.950000760000002</v>
      </c>
      <c r="G984" s="2">
        <v>17.950000760000002</v>
      </c>
      <c r="H984" s="2">
        <v>0</v>
      </c>
      <c r="I984" s="2">
        <v>13.130000109999999</v>
      </c>
      <c r="J984" s="2">
        <v>1.5499999520000001</v>
      </c>
      <c r="K984" s="2">
        <v>3.2599999899999998</v>
      </c>
      <c r="L984" s="2">
        <v>0</v>
      </c>
      <c r="M984" s="2">
        <v>129</v>
      </c>
      <c r="N984" s="2">
        <v>33</v>
      </c>
      <c r="O984" s="2">
        <v>182</v>
      </c>
      <c r="P984" s="2">
        <v>1096</v>
      </c>
      <c r="Q984" s="2">
        <f t="shared" si="77"/>
        <v>344</v>
      </c>
      <c r="R984" s="2">
        <f t="shared" si="80"/>
        <v>1440</v>
      </c>
      <c r="S984" t="str">
        <f t="shared" si="79"/>
        <v>Highly Active</v>
      </c>
      <c r="T984" s="2">
        <v>3577</v>
      </c>
    </row>
    <row r="985" spans="1:20" x14ac:dyDescent="0.25">
      <c r="A985" s="2">
        <v>8053475328</v>
      </c>
      <c r="B985" s="3">
        <v>42485</v>
      </c>
      <c r="C985" t="str">
        <f t="shared" ref="C985:C1047" si="81">CHOOSE(WEEKDAY(B985), "Sunday", "Monday", "Tuesday", "Wednesday", "Thursday", "Friday", "Saturday")</f>
        <v>Monday</v>
      </c>
      <c r="D985" t="str">
        <f t="shared" si="78"/>
        <v>Weekday</v>
      </c>
      <c r="E985" s="2">
        <v>20500</v>
      </c>
      <c r="F985" s="2">
        <v>15.68999958</v>
      </c>
      <c r="G985" s="2">
        <v>15.68999958</v>
      </c>
      <c r="H985" s="2">
        <v>0</v>
      </c>
      <c r="I985" s="2">
        <v>11.369999890000001</v>
      </c>
      <c r="J985" s="2">
        <v>0.46000000800000002</v>
      </c>
      <c r="K985" s="2">
        <v>3.8599998950000001</v>
      </c>
      <c r="L985" s="2">
        <v>0</v>
      </c>
      <c r="M985" s="2">
        <v>118</v>
      </c>
      <c r="N985" s="2">
        <v>9</v>
      </c>
      <c r="O985" s="2">
        <v>209</v>
      </c>
      <c r="P985" s="2">
        <v>1104</v>
      </c>
      <c r="Q985" s="2">
        <f t="shared" ref="Q985:Q1047" si="82">SUM(M985:O985)</f>
        <v>336</v>
      </c>
      <c r="R985" s="2">
        <f t="shared" si="80"/>
        <v>1440</v>
      </c>
      <c r="S985" t="str">
        <f t="shared" si="79"/>
        <v>Highly Active</v>
      </c>
      <c r="T985" s="2">
        <v>3403</v>
      </c>
    </row>
    <row r="986" spans="1:20" x14ac:dyDescent="0.25">
      <c r="A986" s="2">
        <v>8053475328</v>
      </c>
      <c r="B986" s="3">
        <v>42486</v>
      </c>
      <c r="C986" t="str">
        <f t="shared" si="81"/>
        <v>Tuesday</v>
      </c>
      <c r="D986" t="str">
        <f t="shared" si="78"/>
        <v>Weekday</v>
      </c>
      <c r="E986" s="2">
        <v>12685</v>
      </c>
      <c r="F986" s="2">
        <v>9.6199998860000004</v>
      </c>
      <c r="G986" s="2">
        <v>9.6199998860000004</v>
      </c>
      <c r="H986" s="2">
        <v>0</v>
      </c>
      <c r="I986" s="2">
        <v>6.3099999430000002</v>
      </c>
      <c r="J986" s="2">
        <v>0.20000000300000001</v>
      </c>
      <c r="K986" s="2">
        <v>3.0999999049999998</v>
      </c>
      <c r="L986" s="2">
        <v>0</v>
      </c>
      <c r="M986" s="2">
        <v>68</v>
      </c>
      <c r="N986" s="2">
        <v>5</v>
      </c>
      <c r="O986" s="2">
        <v>185</v>
      </c>
      <c r="P986" s="2">
        <v>1182</v>
      </c>
      <c r="Q986" s="2">
        <f t="shared" si="82"/>
        <v>258</v>
      </c>
      <c r="R986" s="2">
        <f t="shared" si="80"/>
        <v>1440</v>
      </c>
      <c r="S986" t="str">
        <f t="shared" si="79"/>
        <v>Highly Active</v>
      </c>
      <c r="T986" s="2">
        <v>2846</v>
      </c>
    </row>
    <row r="987" spans="1:20" x14ac:dyDescent="0.25">
      <c r="A987" s="2">
        <v>8053475328</v>
      </c>
      <c r="B987" s="3">
        <v>42487</v>
      </c>
      <c r="C987" t="str">
        <f t="shared" si="81"/>
        <v>Wednesday</v>
      </c>
      <c r="D987" t="str">
        <f t="shared" si="78"/>
        <v>Weekday</v>
      </c>
      <c r="E987" s="2">
        <v>12422</v>
      </c>
      <c r="F987" s="2">
        <v>9.8199996949999999</v>
      </c>
      <c r="G987" s="2">
        <v>9.8199996949999999</v>
      </c>
      <c r="H987" s="2">
        <v>0</v>
      </c>
      <c r="I987" s="2">
        <v>6.4600000380000004</v>
      </c>
      <c r="J987" s="2">
        <v>0.43000000700000002</v>
      </c>
      <c r="K987" s="2">
        <v>2.9300000669999999</v>
      </c>
      <c r="L987" s="2">
        <v>0</v>
      </c>
      <c r="M987" s="2">
        <v>60</v>
      </c>
      <c r="N987" s="2">
        <v>10</v>
      </c>
      <c r="O987" s="2">
        <v>183</v>
      </c>
      <c r="P987" s="2">
        <v>1187</v>
      </c>
      <c r="Q987" s="2">
        <f t="shared" si="82"/>
        <v>253</v>
      </c>
      <c r="R987" s="2">
        <f t="shared" si="80"/>
        <v>1440</v>
      </c>
      <c r="S987" t="str">
        <f t="shared" si="79"/>
        <v>Highly Active</v>
      </c>
      <c r="T987" s="2">
        <v>2852</v>
      </c>
    </row>
    <row r="988" spans="1:20" x14ac:dyDescent="0.25">
      <c r="A988" s="2">
        <v>8053475328</v>
      </c>
      <c r="B988" s="3">
        <v>42488</v>
      </c>
      <c r="C988" t="str">
        <f t="shared" si="81"/>
        <v>Thursday</v>
      </c>
      <c r="D988" t="str">
        <f t="shared" si="78"/>
        <v>Weekday</v>
      </c>
      <c r="E988" s="2">
        <v>15447</v>
      </c>
      <c r="F988" s="2">
        <v>12.399999619999999</v>
      </c>
      <c r="G988" s="2">
        <v>12.399999619999999</v>
      </c>
      <c r="H988" s="2">
        <v>0</v>
      </c>
      <c r="I988" s="2">
        <v>9.6700000760000009</v>
      </c>
      <c r="J988" s="2">
        <v>0.38999998600000002</v>
      </c>
      <c r="K988" s="2">
        <v>2.3499999049999998</v>
      </c>
      <c r="L988" s="2">
        <v>0</v>
      </c>
      <c r="M988" s="2">
        <v>90</v>
      </c>
      <c r="N988" s="2">
        <v>9</v>
      </c>
      <c r="O988" s="2">
        <v>153</v>
      </c>
      <c r="P988" s="2">
        <v>1188</v>
      </c>
      <c r="Q988" s="2">
        <f t="shared" si="82"/>
        <v>252</v>
      </c>
      <c r="R988" s="2">
        <f t="shared" si="80"/>
        <v>1440</v>
      </c>
      <c r="S988" t="str">
        <f t="shared" si="79"/>
        <v>Highly Active</v>
      </c>
      <c r="T988" s="2">
        <v>3062</v>
      </c>
    </row>
    <row r="989" spans="1:20" x14ac:dyDescent="0.25">
      <c r="A989" s="2">
        <v>8053475328</v>
      </c>
      <c r="B989" s="3">
        <v>42489</v>
      </c>
      <c r="C989" t="str">
        <f t="shared" si="81"/>
        <v>Friday</v>
      </c>
      <c r="D989" t="str">
        <f t="shared" si="78"/>
        <v>Weekday</v>
      </c>
      <c r="E989" s="2">
        <v>12315</v>
      </c>
      <c r="F989" s="2">
        <v>9.6499996190000008</v>
      </c>
      <c r="G989" s="2">
        <v>9.6499996190000008</v>
      </c>
      <c r="H989" s="2">
        <v>0</v>
      </c>
      <c r="I989" s="2">
        <v>6.170000076</v>
      </c>
      <c r="J989" s="2">
        <v>0.310000002</v>
      </c>
      <c r="K989" s="2">
        <v>3.170000076</v>
      </c>
      <c r="L989" s="2">
        <v>0</v>
      </c>
      <c r="M989" s="2">
        <v>58</v>
      </c>
      <c r="N989" s="2">
        <v>8</v>
      </c>
      <c r="O989" s="2">
        <v>159</v>
      </c>
      <c r="P989" s="2">
        <v>1215</v>
      </c>
      <c r="Q989" s="2">
        <f t="shared" si="82"/>
        <v>225</v>
      </c>
      <c r="R989" s="2">
        <f t="shared" si="80"/>
        <v>1440</v>
      </c>
      <c r="S989" t="str">
        <f t="shared" si="79"/>
        <v>Highly Active</v>
      </c>
      <c r="T989" s="2">
        <v>2794</v>
      </c>
    </row>
    <row r="990" spans="1:20" x14ac:dyDescent="0.25">
      <c r="A990" s="2">
        <v>8053475328</v>
      </c>
      <c r="B990" s="3">
        <v>42490</v>
      </c>
      <c r="C990" t="str">
        <f t="shared" si="81"/>
        <v>Saturday</v>
      </c>
      <c r="D990" t="str">
        <f t="shared" si="78"/>
        <v>Weekend</v>
      </c>
      <c r="E990" s="2">
        <v>7135</v>
      </c>
      <c r="F990" s="2">
        <v>5.5900001530000001</v>
      </c>
      <c r="G990" s="2">
        <v>5.5900001530000001</v>
      </c>
      <c r="H990" s="2">
        <v>0</v>
      </c>
      <c r="I990" s="2">
        <v>2.9900000100000002</v>
      </c>
      <c r="J990" s="2">
        <v>5.9999998999999998E-2</v>
      </c>
      <c r="K990" s="2">
        <v>2.539999962</v>
      </c>
      <c r="L990" s="2">
        <v>0</v>
      </c>
      <c r="M990" s="2">
        <v>27</v>
      </c>
      <c r="N990" s="2">
        <v>1</v>
      </c>
      <c r="O990" s="2">
        <v>131</v>
      </c>
      <c r="P990" s="2">
        <v>1281</v>
      </c>
      <c r="Q990" s="2">
        <f t="shared" si="82"/>
        <v>159</v>
      </c>
      <c r="R990" s="2">
        <f t="shared" si="80"/>
        <v>1440</v>
      </c>
      <c r="S990" t="str">
        <f t="shared" si="79"/>
        <v>Lightly Active</v>
      </c>
      <c r="T990" s="2">
        <v>2408</v>
      </c>
    </row>
    <row r="991" spans="1:20" x14ac:dyDescent="0.25">
      <c r="A991" s="2">
        <v>8053475328</v>
      </c>
      <c r="B991" s="3">
        <v>42491</v>
      </c>
      <c r="C991" t="str">
        <f t="shared" si="81"/>
        <v>Sunday</v>
      </c>
      <c r="D991" t="str">
        <f t="shared" si="78"/>
        <v>Weekend</v>
      </c>
      <c r="E991" s="2">
        <v>1170</v>
      </c>
      <c r="F991" s="2">
        <v>0.85000002399999997</v>
      </c>
      <c r="G991" s="2">
        <v>0.85000002399999997</v>
      </c>
      <c r="H991" s="2">
        <v>0</v>
      </c>
      <c r="I991" s="2">
        <v>0</v>
      </c>
      <c r="J991" s="2">
        <v>0</v>
      </c>
      <c r="K991" s="2">
        <v>0.85000002399999997</v>
      </c>
      <c r="L991" s="2">
        <v>0</v>
      </c>
      <c r="M991" s="2">
        <v>0</v>
      </c>
      <c r="N991" s="2">
        <v>0</v>
      </c>
      <c r="O991" s="2">
        <v>51</v>
      </c>
      <c r="P991" s="2">
        <v>1389</v>
      </c>
      <c r="Q991" s="2">
        <f t="shared" si="82"/>
        <v>51</v>
      </c>
      <c r="R991" s="2">
        <f t="shared" si="80"/>
        <v>1440</v>
      </c>
      <c r="S991" t="str">
        <f t="shared" si="79"/>
        <v>Sedentary</v>
      </c>
      <c r="T991" s="2">
        <v>1886</v>
      </c>
    </row>
    <row r="992" spans="1:20" x14ac:dyDescent="0.25">
      <c r="A992" s="2">
        <v>8053475328</v>
      </c>
      <c r="B992" s="3">
        <v>42492</v>
      </c>
      <c r="C992" t="str">
        <f t="shared" si="81"/>
        <v>Monday</v>
      </c>
      <c r="D992" t="str">
        <f t="shared" si="78"/>
        <v>Weekday</v>
      </c>
      <c r="E992" s="2">
        <v>1969</v>
      </c>
      <c r="F992" s="2">
        <v>1.4299999480000001</v>
      </c>
      <c r="G992" s="2">
        <v>1.4299999480000001</v>
      </c>
      <c r="H992" s="2">
        <v>0</v>
      </c>
      <c r="I992" s="2">
        <v>0</v>
      </c>
      <c r="J992" s="2">
        <v>0</v>
      </c>
      <c r="K992" s="2">
        <v>1.4299999480000001</v>
      </c>
      <c r="L992" s="2">
        <v>0</v>
      </c>
      <c r="M992" s="2">
        <v>0</v>
      </c>
      <c r="N992" s="2">
        <v>0</v>
      </c>
      <c r="O992" s="2">
        <v>95</v>
      </c>
      <c r="P992" s="2">
        <v>1345</v>
      </c>
      <c r="Q992" s="2">
        <f t="shared" si="82"/>
        <v>95</v>
      </c>
      <c r="R992" s="2">
        <f t="shared" si="80"/>
        <v>1440</v>
      </c>
      <c r="S992" t="str">
        <f t="shared" si="79"/>
        <v>Sedentary</v>
      </c>
      <c r="T992" s="2">
        <v>1988</v>
      </c>
    </row>
    <row r="993" spans="1:20" x14ac:dyDescent="0.25">
      <c r="A993" s="2">
        <v>8053475328</v>
      </c>
      <c r="B993" s="3">
        <v>42493</v>
      </c>
      <c r="C993" t="str">
        <f t="shared" si="81"/>
        <v>Tuesday</v>
      </c>
      <c r="D993" t="str">
        <f t="shared" si="78"/>
        <v>Weekday</v>
      </c>
      <c r="E993" s="2">
        <v>15484</v>
      </c>
      <c r="F993" s="2">
        <v>11.899999619999999</v>
      </c>
      <c r="G993" s="2">
        <v>11.899999619999999</v>
      </c>
      <c r="H993" s="2">
        <v>0</v>
      </c>
      <c r="I993" s="2">
        <v>8.3900003430000005</v>
      </c>
      <c r="J993" s="2">
        <v>0.93000000699999996</v>
      </c>
      <c r="K993" s="2">
        <v>2.5899999139999998</v>
      </c>
      <c r="L993" s="2">
        <v>0</v>
      </c>
      <c r="M993" s="2">
        <v>87</v>
      </c>
      <c r="N993" s="2">
        <v>22</v>
      </c>
      <c r="O993" s="2">
        <v>165</v>
      </c>
      <c r="P993" s="2">
        <v>1166</v>
      </c>
      <c r="Q993" s="2">
        <f t="shared" si="82"/>
        <v>274</v>
      </c>
      <c r="R993" s="2">
        <f t="shared" si="80"/>
        <v>1440</v>
      </c>
      <c r="S993" t="str">
        <f t="shared" si="79"/>
        <v>Highly Active</v>
      </c>
      <c r="T993" s="2">
        <v>3023</v>
      </c>
    </row>
    <row r="994" spans="1:20" x14ac:dyDescent="0.25">
      <c r="A994" s="2">
        <v>8053475328</v>
      </c>
      <c r="B994" s="3">
        <v>42494</v>
      </c>
      <c r="C994" t="str">
        <f t="shared" si="81"/>
        <v>Wednesday</v>
      </c>
      <c r="D994" t="str">
        <f t="shared" si="78"/>
        <v>Weekday</v>
      </c>
      <c r="E994" s="2">
        <v>14581</v>
      </c>
      <c r="F994" s="2">
        <v>11.149999619999999</v>
      </c>
      <c r="G994" s="2">
        <v>11.149999619999999</v>
      </c>
      <c r="H994" s="2">
        <v>0</v>
      </c>
      <c r="I994" s="2">
        <v>8.8199996949999999</v>
      </c>
      <c r="J994" s="2">
        <v>0.40000000600000002</v>
      </c>
      <c r="K994" s="2">
        <v>1.9099999670000001</v>
      </c>
      <c r="L994" s="2">
        <v>0</v>
      </c>
      <c r="M994" s="2">
        <v>89</v>
      </c>
      <c r="N994" s="2">
        <v>8</v>
      </c>
      <c r="O994" s="2">
        <v>123</v>
      </c>
      <c r="P994" s="2">
        <v>1220</v>
      </c>
      <c r="Q994" s="2">
        <f t="shared" si="82"/>
        <v>220</v>
      </c>
      <c r="R994" s="2">
        <f t="shared" si="80"/>
        <v>1440</v>
      </c>
      <c r="S994" t="str">
        <f t="shared" si="79"/>
        <v>Highly Active</v>
      </c>
      <c r="T994" s="2">
        <v>2918</v>
      </c>
    </row>
    <row r="995" spans="1:20" x14ac:dyDescent="0.25">
      <c r="A995" s="2">
        <v>8053475328</v>
      </c>
      <c r="B995" s="3">
        <v>42495</v>
      </c>
      <c r="C995" t="str">
        <f t="shared" si="81"/>
        <v>Thursday</v>
      </c>
      <c r="D995" t="str">
        <f t="shared" si="78"/>
        <v>Weekday</v>
      </c>
      <c r="E995" s="2">
        <v>14990</v>
      </c>
      <c r="F995" s="2">
        <v>11.510000229999999</v>
      </c>
      <c r="G995" s="2">
        <v>11.510000229999999</v>
      </c>
      <c r="H995" s="2">
        <v>0</v>
      </c>
      <c r="I995" s="2">
        <v>8.8500003809999992</v>
      </c>
      <c r="J995" s="2">
        <v>0.44999998800000002</v>
      </c>
      <c r="K995" s="2">
        <v>2.210000038</v>
      </c>
      <c r="L995" s="2">
        <v>0</v>
      </c>
      <c r="M995" s="2">
        <v>93</v>
      </c>
      <c r="N995" s="2">
        <v>9</v>
      </c>
      <c r="O995" s="2">
        <v>130</v>
      </c>
      <c r="P995" s="2">
        <v>1208</v>
      </c>
      <c r="Q995" s="2">
        <f t="shared" si="82"/>
        <v>232</v>
      </c>
      <c r="R995" s="2">
        <f t="shared" si="80"/>
        <v>1440</v>
      </c>
      <c r="S995" t="str">
        <f t="shared" si="79"/>
        <v>Highly Active</v>
      </c>
      <c r="T995" s="2">
        <v>2950</v>
      </c>
    </row>
    <row r="996" spans="1:20" x14ac:dyDescent="0.25">
      <c r="A996" s="2">
        <v>8053475328</v>
      </c>
      <c r="B996" s="3">
        <v>42496</v>
      </c>
      <c r="C996" t="str">
        <f t="shared" si="81"/>
        <v>Friday</v>
      </c>
      <c r="D996" t="str">
        <f t="shared" si="78"/>
        <v>Weekday</v>
      </c>
      <c r="E996" s="2">
        <v>13953</v>
      </c>
      <c r="F996" s="2">
        <v>11</v>
      </c>
      <c r="G996" s="2">
        <v>11</v>
      </c>
      <c r="H996" s="2">
        <v>0</v>
      </c>
      <c r="I996" s="2">
        <v>9.1000003809999992</v>
      </c>
      <c r="J996" s="2">
        <v>0.689999998</v>
      </c>
      <c r="K996" s="2">
        <v>1.210000038</v>
      </c>
      <c r="L996" s="2">
        <v>0</v>
      </c>
      <c r="M996" s="2">
        <v>90</v>
      </c>
      <c r="N996" s="2">
        <v>15</v>
      </c>
      <c r="O996" s="2">
        <v>90</v>
      </c>
      <c r="P996" s="2">
        <v>1245</v>
      </c>
      <c r="Q996" s="2">
        <f t="shared" si="82"/>
        <v>195</v>
      </c>
      <c r="R996" s="2">
        <f t="shared" si="80"/>
        <v>1440</v>
      </c>
      <c r="S996" t="str">
        <f t="shared" si="79"/>
        <v>Highly Active</v>
      </c>
      <c r="T996" s="2">
        <v>2859</v>
      </c>
    </row>
    <row r="997" spans="1:20" x14ac:dyDescent="0.25">
      <c r="A997" s="2">
        <v>8053475328</v>
      </c>
      <c r="B997" s="3">
        <v>42497</v>
      </c>
      <c r="C997" t="str">
        <f t="shared" si="81"/>
        <v>Saturday</v>
      </c>
      <c r="D997" t="str">
        <f t="shared" si="78"/>
        <v>Weekend</v>
      </c>
      <c r="E997" s="2">
        <v>19769</v>
      </c>
      <c r="F997" s="2">
        <v>15.670000079999999</v>
      </c>
      <c r="G997" s="2">
        <v>15.670000079999999</v>
      </c>
      <c r="H997" s="2">
        <v>0</v>
      </c>
      <c r="I997" s="2">
        <v>12.43999958</v>
      </c>
      <c r="J997" s="2">
        <v>0.87999999500000003</v>
      </c>
      <c r="K997" s="2">
        <v>2.3499999049999998</v>
      </c>
      <c r="L997" s="2">
        <v>0</v>
      </c>
      <c r="M997" s="2">
        <v>121</v>
      </c>
      <c r="N997" s="2">
        <v>20</v>
      </c>
      <c r="O997" s="2">
        <v>148</v>
      </c>
      <c r="P997" s="2">
        <v>1076</v>
      </c>
      <c r="Q997" s="2">
        <f t="shared" si="82"/>
        <v>289</v>
      </c>
      <c r="R997" s="2">
        <f t="shared" si="80"/>
        <v>1365</v>
      </c>
      <c r="S997" t="str">
        <f t="shared" si="79"/>
        <v>Highly Active</v>
      </c>
      <c r="T997" s="2">
        <v>3331</v>
      </c>
    </row>
    <row r="998" spans="1:20" x14ac:dyDescent="0.25">
      <c r="A998" s="2">
        <v>8053475328</v>
      </c>
      <c r="B998" s="3">
        <v>42498</v>
      </c>
      <c r="C998" t="str">
        <f t="shared" si="81"/>
        <v>Sunday</v>
      </c>
      <c r="D998" t="str">
        <f t="shared" si="78"/>
        <v>Weekend</v>
      </c>
      <c r="E998" s="2">
        <v>22026</v>
      </c>
      <c r="F998" s="2">
        <v>17.649999619999999</v>
      </c>
      <c r="G998" s="2">
        <v>17.649999619999999</v>
      </c>
      <c r="H998" s="2">
        <v>0</v>
      </c>
      <c r="I998" s="2">
        <v>13.399999619999999</v>
      </c>
      <c r="J998" s="2">
        <v>0.58999997400000004</v>
      </c>
      <c r="K998" s="2">
        <v>3.6600000860000002</v>
      </c>
      <c r="L998" s="2">
        <v>0</v>
      </c>
      <c r="M998" s="2">
        <v>125</v>
      </c>
      <c r="N998" s="2">
        <v>14</v>
      </c>
      <c r="O998" s="2">
        <v>228</v>
      </c>
      <c r="P998" s="2">
        <v>1073</v>
      </c>
      <c r="Q998" s="2">
        <f t="shared" si="82"/>
        <v>367</v>
      </c>
      <c r="R998" s="2">
        <f t="shared" si="80"/>
        <v>1440</v>
      </c>
      <c r="S998" t="str">
        <f t="shared" si="79"/>
        <v>Highly Active</v>
      </c>
      <c r="T998" s="2">
        <v>3589</v>
      </c>
    </row>
    <row r="999" spans="1:20" x14ac:dyDescent="0.25">
      <c r="A999" s="2">
        <v>8053475328</v>
      </c>
      <c r="B999" s="3">
        <v>42499</v>
      </c>
      <c r="C999" t="str">
        <f t="shared" si="81"/>
        <v>Monday</v>
      </c>
      <c r="D999" t="str">
        <f t="shared" si="78"/>
        <v>Weekday</v>
      </c>
      <c r="E999" s="2">
        <v>12465</v>
      </c>
      <c r="F999" s="2">
        <v>9.3800001139999996</v>
      </c>
      <c r="G999" s="2">
        <v>9.3800001139999996</v>
      </c>
      <c r="H999" s="2">
        <v>0</v>
      </c>
      <c r="I999" s="2">
        <v>6.1199998860000004</v>
      </c>
      <c r="J999" s="2">
        <v>0.56999999300000004</v>
      </c>
      <c r="K999" s="2">
        <v>2.6900000569999998</v>
      </c>
      <c r="L999" s="2">
        <v>0</v>
      </c>
      <c r="M999" s="2">
        <v>66</v>
      </c>
      <c r="N999" s="2">
        <v>12</v>
      </c>
      <c r="O999" s="2">
        <v>148</v>
      </c>
      <c r="P999" s="2">
        <v>1214</v>
      </c>
      <c r="Q999" s="2">
        <f t="shared" si="82"/>
        <v>226</v>
      </c>
      <c r="R999" s="2">
        <f t="shared" si="80"/>
        <v>1440</v>
      </c>
      <c r="S999" t="str">
        <f t="shared" si="79"/>
        <v>Highly Active</v>
      </c>
      <c r="T999" s="2">
        <v>2765</v>
      </c>
    </row>
    <row r="1000" spans="1:20" x14ac:dyDescent="0.25">
      <c r="A1000" s="2">
        <v>8053475328</v>
      </c>
      <c r="B1000" s="3">
        <v>42500</v>
      </c>
      <c r="C1000" t="str">
        <f t="shared" si="81"/>
        <v>Tuesday</v>
      </c>
      <c r="D1000" t="str">
        <f t="shared" si="78"/>
        <v>Weekday</v>
      </c>
      <c r="E1000" s="2">
        <v>14810</v>
      </c>
      <c r="F1000" s="2">
        <v>11.35999966</v>
      </c>
      <c r="G1000" s="2">
        <v>11.35999966</v>
      </c>
      <c r="H1000" s="2">
        <v>0</v>
      </c>
      <c r="I1000" s="2">
        <v>9.0900001530000001</v>
      </c>
      <c r="J1000" s="2">
        <v>0.41999998700000002</v>
      </c>
      <c r="K1000" s="2">
        <v>1.8500000240000001</v>
      </c>
      <c r="L1000" s="2">
        <v>0</v>
      </c>
      <c r="M1000" s="2">
        <v>96</v>
      </c>
      <c r="N1000" s="2">
        <v>10</v>
      </c>
      <c r="O1000" s="2">
        <v>115</v>
      </c>
      <c r="P1000" s="2">
        <v>1219</v>
      </c>
      <c r="Q1000" s="2">
        <f t="shared" si="82"/>
        <v>221</v>
      </c>
      <c r="R1000" s="2">
        <f t="shared" si="80"/>
        <v>1440</v>
      </c>
      <c r="S1000" t="str">
        <f t="shared" si="79"/>
        <v>Highly Active</v>
      </c>
      <c r="T1000" s="2">
        <v>2926</v>
      </c>
    </row>
    <row r="1001" spans="1:20" x14ac:dyDescent="0.25">
      <c r="A1001" s="2">
        <v>8053475328</v>
      </c>
      <c r="B1001" s="3">
        <v>42501</v>
      </c>
      <c r="C1001" t="str">
        <f t="shared" si="81"/>
        <v>Wednesday</v>
      </c>
      <c r="D1001" t="str">
        <f t="shared" si="78"/>
        <v>Weekday</v>
      </c>
      <c r="E1001" s="2">
        <v>12209</v>
      </c>
      <c r="F1001" s="2">
        <v>9.3999996190000008</v>
      </c>
      <c r="G1001" s="2">
        <v>9.3999996190000008</v>
      </c>
      <c r="H1001" s="2">
        <v>0</v>
      </c>
      <c r="I1001" s="2">
        <v>6.079999924</v>
      </c>
      <c r="J1001" s="2">
        <v>0.280000001</v>
      </c>
      <c r="K1001" s="2">
        <v>3.039999962</v>
      </c>
      <c r="L1001" s="2">
        <v>0</v>
      </c>
      <c r="M1001" s="2">
        <v>60</v>
      </c>
      <c r="N1001" s="2">
        <v>7</v>
      </c>
      <c r="O1001" s="2">
        <v>184</v>
      </c>
      <c r="P1001" s="2">
        <v>1189</v>
      </c>
      <c r="Q1001" s="2">
        <f t="shared" si="82"/>
        <v>251</v>
      </c>
      <c r="R1001" s="2">
        <f t="shared" si="80"/>
        <v>1440</v>
      </c>
      <c r="S1001" t="str">
        <f t="shared" si="79"/>
        <v>Highly Active</v>
      </c>
      <c r="T1001" s="2">
        <v>2809</v>
      </c>
    </row>
    <row r="1002" spans="1:20" x14ac:dyDescent="0.25">
      <c r="A1002" s="2">
        <v>8053475328</v>
      </c>
      <c r="B1002" s="3">
        <v>42502</v>
      </c>
      <c r="C1002" t="str">
        <f t="shared" si="81"/>
        <v>Thursday</v>
      </c>
      <c r="D1002" t="str">
        <f t="shared" si="78"/>
        <v>Weekday</v>
      </c>
      <c r="E1002" s="2">
        <v>4998</v>
      </c>
      <c r="F1002" s="2">
        <v>3.9100000860000002</v>
      </c>
      <c r="G1002" s="2">
        <v>3.9100000860000002</v>
      </c>
      <c r="H1002" s="2">
        <v>0</v>
      </c>
      <c r="I1002" s="2">
        <v>2.9500000480000002</v>
      </c>
      <c r="J1002" s="2">
        <v>0.20000000300000001</v>
      </c>
      <c r="K1002" s="2">
        <v>0.75999998999999996</v>
      </c>
      <c r="L1002" s="2">
        <v>0</v>
      </c>
      <c r="M1002" s="2">
        <v>28</v>
      </c>
      <c r="N1002" s="2">
        <v>4</v>
      </c>
      <c r="O1002" s="2">
        <v>39</v>
      </c>
      <c r="P1002" s="2">
        <v>839</v>
      </c>
      <c r="Q1002" s="2">
        <f t="shared" si="82"/>
        <v>71</v>
      </c>
      <c r="R1002" s="2">
        <f t="shared" si="80"/>
        <v>910</v>
      </c>
      <c r="S1002" t="str">
        <f t="shared" si="79"/>
        <v>Sedentary</v>
      </c>
      <c r="T1002" s="2">
        <v>1505</v>
      </c>
    </row>
    <row r="1003" spans="1:20" x14ac:dyDescent="0.25">
      <c r="A1003" s="2">
        <v>8253242879</v>
      </c>
      <c r="B1003" s="3">
        <v>42466</v>
      </c>
      <c r="C1003" t="str">
        <f t="shared" si="81"/>
        <v>Wednesday</v>
      </c>
      <c r="D1003" t="str">
        <f t="shared" si="78"/>
        <v>Weekday</v>
      </c>
      <c r="E1003" s="2">
        <v>1931</v>
      </c>
      <c r="F1003" s="2">
        <v>1.2799999710000001</v>
      </c>
      <c r="G1003" s="2">
        <v>1.2799999710000001</v>
      </c>
      <c r="H1003" s="2">
        <v>0</v>
      </c>
      <c r="I1003" s="2">
        <v>0</v>
      </c>
      <c r="J1003" s="2">
        <v>0</v>
      </c>
      <c r="K1003" s="2">
        <v>1.2799999710000001</v>
      </c>
      <c r="L1003" s="2">
        <v>0</v>
      </c>
      <c r="M1003" s="2">
        <v>0</v>
      </c>
      <c r="N1003" s="2">
        <v>0</v>
      </c>
      <c r="O1003" s="2">
        <v>94</v>
      </c>
      <c r="P1003" s="2">
        <v>1346</v>
      </c>
      <c r="Q1003" s="2">
        <f t="shared" si="82"/>
        <v>94</v>
      </c>
      <c r="R1003" s="2">
        <f t="shared" si="80"/>
        <v>1440</v>
      </c>
      <c r="S1003" t="str">
        <f t="shared" si="79"/>
        <v>Sedentary</v>
      </c>
      <c r="T1003" s="2">
        <v>1607</v>
      </c>
    </row>
    <row r="1004" spans="1:20" x14ac:dyDescent="0.25">
      <c r="A1004" s="2">
        <v>8253242879</v>
      </c>
      <c r="B1004" s="3">
        <v>42467</v>
      </c>
      <c r="C1004" t="str">
        <f t="shared" si="81"/>
        <v>Thursday</v>
      </c>
      <c r="D1004" t="str">
        <f t="shared" si="78"/>
        <v>Weekday</v>
      </c>
      <c r="E1004" s="2">
        <v>5181</v>
      </c>
      <c r="F1004" s="2">
        <v>3.420000076</v>
      </c>
      <c r="G1004" s="2">
        <v>3.420000076</v>
      </c>
      <c r="H1004" s="2">
        <v>0</v>
      </c>
      <c r="I1004" s="2">
        <v>1</v>
      </c>
      <c r="J1004" s="2">
        <v>0.91000002599999996</v>
      </c>
      <c r="K1004" s="2">
        <v>1.5099999900000001</v>
      </c>
      <c r="L1004" s="2">
        <v>0.01</v>
      </c>
      <c r="M1004" s="2">
        <v>15</v>
      </c>
      <c r="N1004" s="2">
        <v>15</v>
      </c>
      <c r="O1004" s="2">
        <v>107</v>
      </c>
      <c r="P1004" s="2">
        <v>1303</v>
      </c>
      <c r="Q1004" s="2">
        <f t="shared" si="82"/>
        <v>137</v>
      </c>
      <c r="R1004" s="2">
        <f t="shared" si="80"/>
        <v>1440</v>
      </c>
      <c r="S1004" t="str">
        <f t="shared" si="79"/>
        <v>Lightly Active</v>
      </c>
      <c r="T1004" s="2">
        <v>1776</v>
      </c>
    </row>
    <row r="1005" spans="1:20" x14ac:dyDescent="0.25">
      <c r="A1005" s="2">
        <v>8253242879</v>
      </c>
      <c r="B1005" s="3">
        <v>42468</v>
      </c>
      <c r="C1005" t="str">
        <f t="shared" si="81"/>
        <v>Friday</v>
      </c>
      <c r="D1005" t="str">
        <f t="shared" si="78"/>
        <v>Weekday</v>
      </c>
      <c r="E1005" s="2">
        <v>12026</v>
      </c>
      <c r="F1005" s="2">
        <v>9.1499996190000008</v>
      </c>
      <c r="G1005" s="2">
        <v>9.1499996190000008</v>
      </c>
      <c r="H1005" s="2">
        <v>0</v>
      </c>
      <c r="I1005" s="2">
        <v>5.6999998090000004</v>
      </c>
      <c r="J1005" s="2">
        <v>0.93000000699999996</v>
      </c>
      <c r="K1005" s="2">
        <v>2.5099999899999998</v>
      </c>
      <c r="L1005" s="2">
        <v>0</v>
      </c>
      <c r="M1005" s="2">
        <v>47</v>
      </c>
      <c r="N1005" s="2">
        <v>13</v>
      </c>
      <c r="O1005" s="2">
        <v>150</v>
      </c>
      <c r="P1005" s="2">
        <v>1230</v>
      </c>
      <c r="Q1005" s="2">
        <f t="shared" si="82"/>
        <v>210</v>
      </c>
      <c r="R1005" s="2">
        <f t="shared" si="80"/>
        <v>1440</v>
      </c>
      <c r="S1005" t="str">
        <f t="shared" si="79"/>
        <v>Highly Active</v>
      </c>
      <c r="T1005" s="2">
        <v>2162</v>
      </c>
    </row>
    <row r="1006" spans="1:20" x14ac:dyDescent="0.25">
      <c r="A1006" s="2">
        <v>8253242879</v>
      </c>
      <c r="B1006" s="3">
        <v>42469</v>
      </c>
      <c r="C1006" t="str">
        <f t="shared" si="81"/>
        <v>Saturday</v>
      </c>
      <c r="D1006" t="str">
        <f t="shared" si="78"/>
        <v>Weekend</v>
      </c>
      <c r="E1006" s="2">
        <v>5360</v>
      </c>
      <c r="F1006" s="2">
        <v>3.539999962</v>
      </c>
      <c r="G1006" s="2">
        <v>3.539999962</v>
      </c>
      <c r="H1006" s="2">
        <v>0</v>
      </c>
      <c r="I1006" s="2">
        <v>0.540000021</v>
      </c>
      <c r="J1006" s="2">
        <v>1.5499999520000001</v>
      </c>
      <c r="K1006" s="2">
        <v>1.460000038</v>
      </c>
      <c r="L1006" s="2">
        <v>0</v>
      </c>
      <c r="M1006" s="2">
        <v>8</v>
      </c>
      <c r="N1006" s="2">
        <v>28</v>
      </c>
      <c r="O1006" s="2">
        <v>148</v>
      </c>
      <c r="P1006" s="2">
        <v>1256</v>
      </c>
      <c r="Q1006" s="2">
        <f t="shared" si="82"/>
        <v>184</v>
      </c>
      <c r="R1006" s="2">
        <f t="shared" si="80"/>
        <v>1440</v>
      </c>
      <c r="S1006" t="str">
        <f t="shared" si="79"/>
        <v>Lightly Active</v>
      </c>
      <c r="T1006" s="2">
        <v>1832</v>
      </c>
    </row>
    <row r="1007" spans="1:20" x14ac:dyDescent="0.25">
      <c r="A1007" s="2">
        <v>8253242879</v>
      </c>
      <c r="B1007" s="3">
        <v>42470</v>
      </c>
      <c r="C1007" t="str">
        <f t="shared" si="81"/>
        <v>Sunday</v>
      </c>
      <c r="D1007" t="str">
        <f t="shared" si="78"/>
        <v>Weekend</v>
      </c>
      <c r="E1007" s="2">
        <v>2545</v>
      </c>
      <c r="F1007" s="2">
        <v>1.6799999480000001</v>
      </c>
      <c r="G1007" s="2">
        <v>1.6799999480000001</v>
      </c>
      <c r="H1007" s="2">
        <v>0</v>
      </c>
      <c r="I1007" s="2">
        <v>0</v>
      </c>
      <c r="J1007" s="2">
        <v>0</v>
      </c>
      <c r="K1007" s="2">
        <v>1.6699999569999999</v>
      </c>
      <c r="L1007" s="2">
        <v>0.02</v>
      </c>
      <c r="M1007" s="2">
        <v>0</v>
      </c>
      <c r="N1007" s="2">
        <v>0</v>
      </c>
      <c r="O1007" s="2">
        <v>126</v>
      </c>
      <c r="P1007" s="2">
        <v>1314</v>
      </c>
      <c r="Q1007" s="2">
        <f t="shared" si="82"/>
        <v>126</v>
      </c>
      <c r="R1007" s="2">
        <f t="shared" si="80"/>
        <v>1440</v>
      </c>
      <c r="S1007" t="str">
        <f t="shared" si="79"/>
        <v>Sedentary</v>
      </c>
      <c r="T1007" s="2">
        <v>1657</v>
      </c>
    </row>
    <row r="1008" spans="1:20" x14ac:dyDescent="0.25">
      <c r="A1008" s="2">
        <v>8253242879</v>
      </c>
      <c r="B1008" s="3">
        <v>42471</v>
      </c>
      <c r="C1008" t="str">
        <f t="shared" si="81"/>
        <v>Monday</v>
      </c>
      <c r="D1008" t="str">
        <f t="shared" si="78"/>
        <v>Weekday</v>
      </c>
      <c r="E1008" s="2">
        <v>1636</v>
      </c>
      <c r="F1008" s="2">
        <v>1.0800000430000001</v>
      </c>
      <c r="G1008" s="2">
        <v>1.0800000430000001</v>
      </c>
      <c r="H1008" s="2">
        <v>0</v>
      </c>
      <c r="I1008" s="2">
        <v>0</v>
      </c>
      <c r="J1008" s="2">
        <v>0</v>
      </c>
      <c r="K1008" s="2">
        <v>1.0800000430000001</v>
      </c>
      <c r="L1008" s="2">
        <v>0</v>
      </c>
      <c r="M1008" s="2">
        <v>0</v>
      </c>
      <c r="N1008" s="2">
        <v>0</v>
      </c>
      <c r="O1008" s="2">
        <v>86</v>
      </c>
      <c r="P1008" s="2">
        <v>1139</v>
      </c>
      <c r="Q1008" s="2">
        <f t="shared" si="82"/>
        <v>86</v>
      </c>
      <c r="R1008" s="2">
        <f t="shared" si="80"/>
        <v>1225</v>
      </c>
      <c r="S1008" t="str">
        <f t="shared" si="79"/>
        <v>Sedentary</v>
      </c>
      <c r="T1008" s="2">
        <v>1377</v>
      </c>
    </row>
    <row r="1009" spans="1:20" x14ac:dyDescent="0.25">
      <c r="A1009" s="2">
        <v>8253242879</v>
      </c>
      <c r="B1009" s="3">
        <v>42473</v>
      </c>
      <c r="C1009" t="str">
        <f t="shared" si="81"/>
        <v>Wednesday</v>
      </c>
      <c r="D1009" t="str">
        <f t="shared" si="78"/>
        <v>Weekday</v>
      </c>
      <c r="E1009" s="2">
        <v>8053</v>
      </c>
      <c r="F1009" s="2">
        <v>6.0999999049999998</v>
      </c>
      <c r="G1009" s="2">
        <v>6.0999999049999998</v>
      </c>
      <c r="H1009" s="2">
        <v>0</v>
      </c>
      <c r="I1009" s="2">
        <v>4.170000076</v>
      </c>
      <c r="J1009" s="2">
        <v>0.62999999500000003</v>
      </c>
      <c r="K1009" s="2">
        <v>1.309999943</v>
      </c>
      <c r="L1009" s="2">
        <v>0</v>
      </c>
      <c r="M1009" s="2">
        <v>35</v>
      </c>
      <c r="N1009" s="2">
        <v>11</v>
      </c>
      <c r="O1009" s="2">
        <v>96</v>
      </c>
      <c r="P1009" s="2">
        <v>1298</v>
      </c>
      <c r="Q1009" s="2">
        <f t="shared" si="82"/>
        <v>142</v>
      </c>
      <c r="R1009" s="2">
        <f t="shared" si="80"/>
        <v>1440</v>
      </c>
      <c r="S1009" t="str">
        <f t="shared" si="79"/>
        <v>Fairly Active</v>
      </c>
      <c r="T1009" s="2">
        <v>1935</v>
      </c>
    </row>
    <row r="1010" spans="1:20" x14ac:dyDescent="0.25">
      <c r="A1010" s="2">
        <v>8253242879</v>
      </c>
      <c r="B1010" s="3">
        <v>42474</v>
      </c>
      <c r="C1010" t="str">
        <f t="shared" si="81"/>
        <v>Thursday</v>
      </c>
      <c r="D1010" t="str">
        <f t="shared" si="78"/>
        <v>Weekday</v>
      </c>
      <c r="E1010" s="2">
        <v>5234</v>
      </c>
      <c r="F1010" s="2">
        <v>3.460000038</v>
      </c>
      <c r="G1010" s="2">
        <v>3.460000038</v>
      </c>
      <c r="H1010" s="2">
        <v>0</v>
      </c>
      <c r="I1010" s="2">
        <v>1.9299999480000001</v>
      </c>
      <c r="J1010" s="2">
        <v>0.99000001000000004</v>
      </c>
      <c r="K1010" s="2">
        <v>0.540000021</v>
      </c>
      <c r="L1010" s="2">
        <v>0</v>
      </c>
      <c r="M1010" s="2">
        <v>29</v>
      </c>
      <c r="N1010" s="2">
        <v>16</v>
      </c>
      <c r="O1010" s="2">
        <v>33</v>
      </c>
      <c r="P1010" s="2">
        <v>1362</v>
      </c>
      <c r="Q1010" s="2">
        <f t="shared" si="82"/>
        <v>78</v>
      </c>
      <c r="R1010" s="2">
        <f t="shared" si="80"/>
        <v>1440</v>
      </c>
      <c r="S1010" t="str">
        <f t="shared" si="79"/>
        <v>Lightly Active</v>
      </c>
      <c r="T1010" s="2">
        <v>1705</v>
      </c>
    </row>
    <row r="1011" spans="1:20" x14ac:dyDescent="0.25">
      <c r="A1011" s="2">
        <v>8253242879</v>
      </c>
      <c r="B1011" s="3">
        <v>42475</v>
      </c>
      <c r="C1011" t="str">
        <f t="shared" si="81"/>
        <v>Friday</v>
      </c>
      <c r="D1011" t="str">
        <f t="shared" si="78"/>
        <v>Weekday</v>
      </c>
      <c r="E1011" s="2">
        <v>2672</v>
      </c>
      <c r="F1011" s="2">
        <v>1.769999981</v>
      </c>
      <c r="G1011" s="2">
        <v>1.769999981</v>
      </c>
      <c r="H1011" s="2">
        <v>0</v>
      </c>
      <c r="I1011" s="2">
        <v>0</v>
      </c>
      <c r="J1011" s="2">
        <v>0</v>
      </c>
      <c r="K1011" s="2">
        <v>1.7599999900000001</v>
      </c>
      <c r="L1011" s="2">
        <v>0</v>
      </c>
      <c r="M1011" s="2">
        <v>0</v>
      </c>
      <c r="N1011" s="2">
        <v>0</v>
      </c>
      <c r="O1011" s="2">
        <v>105</v>
      </c>
      <c r="P1011" s="2">
        <v>1335</v>
      </c>
      <c r="Q1011" s="2">
        <f t="shared" si="82"/>
        <v>105</v>
      </c>
      <c r="R1011" s="2">
        <f t="shared" si="80"/>
        <v>1440</v>
      </c>
      <c r="S1011" t="str">
        <f t="shared" si="79"/>
        <v>Sedentary</v>
      </c>
      <c r="T1011" s="2">
        <v>1632</v>
      </c>
    </row>
    <row r="1012" spans="1:20" x14ac:dyDescent="0.25">
      <c r="A1012" s="2">
        <v>8253242879</v>
      </c>
      <c r="B1012" s="3">
        <v>42476</v>
      </c>
      <c r="C1012" t="str">
        <f t="shared" si="81"/>
        <v>Saturday</v>
      </c>
      <c r="D1012" t="str">
        <f t="shared" si="78"/>
        <v>Weekend</v>
      </c>
      <c r="E1012" s="2">
        <v>9256</v>
      </c>
      <c r="F1012" s="2">
        <v>6.1399998660000001</v>
      </c>
      <c r="G1012" s="2">
        <v>6.1399998660000001</v>
      </c>
      <c r="H1012" s="2">
        <v>0</v>
      </c>
      <c r="I1012" s="2">
        <v>0.43000000700000002</v>
      </c>
      <c r="J1012" s="2">
        <v>3.2699999809999998</v>
      </c>
      <c r="K1012" s="2">
        <v>2.4500000480000002</v>
      </c>
      <c r="L1012" s="2">
        <v>0</v>
      </c>
      <c r="M1012" s="2">
        <v>6</v>
      </c>
      <c r="N1012" s="2">
        <v>51</v>
      </c>
      <c r="O1012" s="2">
        <v>115</v>
      </c>
      <c r="P1012" s="2">
        <v>1268</v>
      </c>
      <c r="Q1012" s="2">
        <f t="shared" si="82"/>
        <v>172</v>
      </c>
      <c r="R1012" s="2">
        <f t="shared" si="80"/>
        <v>1440</v>
      </c>
      <c r="S1012" t="str">
        <f t="shared" si="79"/>
        <v>Fairly Active</v>
      </c>
      <c r="T1012" s="2">
        <v>1880</v>
      </c>
    </row>
    <row r="1013" spans="1:20" x14ac:dyDescent="0.25">
      <c r="A1013" s="2">
        <v>8253242879</v>
      </c>
      <c r="B1013" s="3">
        <v>42477</v>
      </c>
      <c r="C1013" t="str">
        <f t="shared" si="81"/>
        <v>Sunday</v>
      </c>
      <c r="D1013" t="str">
        <f t="shared" si="78"/>
        <v>Weekend</v>
      </c>
      <c r="E1013" s="2">
        <v>10204</v>
      </c>
      <c r="F1013" s="2">
        <v>7.9099998469999999</v>
      </c>
      <c r="G1013" s="2">
        <v>7.9099998469999999</v>
      </c>
      <c r="H1013" s="2">
        <v>0</v>
      </c>
      <c r="I1013" s="2">
        <v>5.4299998279999997</v>
      </c>
      <c r="J1013" s="2">
        <v>0.15000000599999999</v>
      </c>
      <c r="K1013" s="2">
        <v>2.329999924</v>
      </c>
      <c r="L1013" s="2">
        <v>0</v>
      </c>
      <c r="M1013" s="2">
        <v>41</v>
      </c>
      <c r="N1013" s="2">
        <v>5</v>
      </c>
      <c r="O1013" s="2">
        <v>157</v>
      </c>
      <c r="P1013" s="2">
        <v>1237</v>
      </c>
      <c r="Q1013" s="2">
        <f t="shared" si="82"/>
        <v>203</v>
      </c>
      <c r="R1013" s="2">
        <f t="shared" si="80"/>
        <v>1440</v>
      </c>
      <c r="S1013" t="str">
        <f t="shared" si="79"/>
        <v>Highly Active</v>
      </c>
      <c r="T1013" s="2">
        <v>2112</v>
      </c>
    </row>
    <row r="1014" spans="1:20" x14ac:dyDescent="0.25">
      <c r="A1014" s="2">
        <v>8253242879</v>
      </c>
      <c r="B1014" s="3">
        <v>42478</v>
      </c>
      <c r="C1014" t="str">
        <f t="shared" si="81"/>
        <v>Monday</v>
      </c>
      <c r="D1014" t="str">
        <f t="shared" si="78"/>
        <v>Weekday</v>
      </c>
      <c r="E1014" s="2">
        <v>5151</v>
      </c>
      <c r="F1014" s="2">
        <v>3.4800000190000002</v>
      </c>
      <c r="G1014" s="2">
        <v>3.4800000190000002</v>
      </c>
      <c r="H1014" s="2">
        <v>0</v>
      </c>
      <c r="I1014" s="2">
        <v>1.039999962</v>
      </c>
      <c r="J1014" s="2">
        <v>0.62999999500000003</v>
      </c>
      <c r="K1014" s="2">
        <v>1.7999999520000001</v>
      </c>
      <c r="L1014" s="2">
        <v>0</v>
      </c>
      <c r="M1014" s="2">
        <v>16</v>
      </c>
      <c r="N1014" s="2">
        <v>16</v>
      </c>
      <c r="O1014" s="2">
        <v>130</v>
      </c>
      <c r="P1014" s="2">
        <v>1278</v>
      </c>
      <c r="Q1014" s="2">
        <f t="shared" si="82"/>
        <v>162</v>
      </c>
      <c r="R1014" s="2">
        <f t="shared" si="80"/>
        <v>1440</v>
      </c>
      <c r="S1014" t="str">
        <f t="shared" si="79"/>
        <v>Lightly Active</v>
      </c>
      <c r="T1014" s="2">
        <v>1829</v>
      </c>
    </row>
    <row r="1015" spans="1:20" x14ac:dyDescent="0.25">
      <c r="A1015" s="2">
        <v>8253242879</v>
      </c>
      <c r="B1015" s="3">
        <v>42479</v>
      </c>
      <c r="C1015" t="str">
        <f t="shared" si="81"/>
        <v>Tuesday</v>
      </c>
      <c r="D1015" t="str">
        <f t="shared" si="78"/>
        <v>Weekday</v>
      </c>
      <c r="E1015" s="2">
        <v>4212</v>
      </c>
      <c r="F1015" s="2">
        <v>2.7799999710000001</v>
      </c>
      <c r="G1015" s="2">
        <v>2.7799999710000001</v>
      </c>
      <c r="H1015" s="2">
        <v>0</v>
      </c>
      <c r="I1015" s="2">
        <v>0</v>
      </c>
      <c r="J1015" s="2">
        <v>0</v>
      </c>
      <c r="K1015" s="2">
        <v>2.7799999710000001</v>
      </c>
      <c r="L1015" s="2">
        <v>0</v>
      </c>
      <c r="M1015" s="2">
        <v>0</v>
      </c>
      <c r="N1015" s="2">
        <v>0</v>
      </c>
      <c r="O1015" s="2">
        <v>164</v>
      </c>
      <c r="P1015" s="2">
        <v>1276</v>
      </c>
      <c r="Q1015" s="2">
        <f t="shared" si="82"/>
        <v>164</v>
      </c>
      <c r="R1015" s="2">
        <f t="shared" si="80"/>
        <v>1440</v>
      </c>
      <c r="S1015" t="str">
        <f t="shared" si="79"/>
        <v>Sedentary</v>
      </c>
      <c r="T1015" s="2">
        <v>1763</v>
      </c>
    </row>
    <row r="1016" spans="1:20" x14ac:dyDescent="0.25">
      <c r="A1016" s="2">
        <v>8253242879</v>
      </c>
      <c r="B1016" s="3">
        <v>42480</v>
      </c>
      <c r="C1016" t="str">
        <f t="shared" si="81"/>
        <v>Wednesday</v>
      </c>
      <c r="D1016" t="str">
        <f t="shared" si="78"/>
        <v>Weekday</v>
      </c>
      <c r="E1016" s="2">
        <v>6466</v>
      </c>
      <c r="F1016" s="2">
        <v>4.2699999809999998</v>
      </c>
      <c r="G1016" s="2">
        <v>4.2699999809999998</v>
      </c>
      <c r="H1016" s="2">
        <v>0</v>
      </c>
      <c r="I1016" s="2">
        <v>0.33000001299999998</v>
      </c>
      <c r="J1016" s="2">
        <v>0.81999999300000004</v>
      </c>
      <c r="K1016" s="2">
        <v>3.1099998950000001</v>
      </c>
      <c r="L1016" s="2">
        <v>0.01</v>
      </c>
      <c r="M1016" s="2">
        <v>5</v>
      </c>
      <c r="N1016" s="2">
        <v>18</v>
      </c>
      <c r="O1016" s="2">
        <v>216</v>
      </c>
      <c r="P1016" s="2">
        <v>1201</v>
      </c>
      <c r="Q1016" s="2">
        <f t="shared" si="82"/>
        <v>239</v>
      </c>
      <c r="R1016" s="2">
        <f t="shared" si="80"/>
        <v>1440</v>
      </c>
      <c r="S1016" t="str">
        <f t="shared" si="79"/>
        <v>Lightly Active</v>
      </c>
      <c r="T1016" s="2">
        <v>1931</v>
      </c>
    </row>
    <row r="1017" spans="1:20" x14ac:dyDescent="0.25">
      <c r="A1017" s="2">
        <v>8253242879</v>
      </c>
      <c r="B1017" s="3">
        <v>42481</v>
      </c>
      <c r="C1017" t="str">
        <f t="shared" si="81"/>
        <v>Thursday</v>
      </c>
      <c r="D1017" t="str">
        <f t="shared" si="78"/>
        <v>Weekday</v>
      </c>
      <c r="E1017" s="2">
        <v>11268</v>
      </c>
      <c r="F1017" s="2">
        <v>8.5600004199999997</v>
      </c>
      <c r="G1017" s="2">
        <v>8.5600004199999997</v>
      </c>
      <c r="H1017" s="2">
        <v>0</v>
      </c>
      <c r="I1017" s="2">
        <v>5.8800001139999996</v>
      </c>
      <c r="J1017" s="2">
        <v>0.93000000699999996</v>
      </c>
      <c r="K1017" s="2">
        <v>1.75</v>
      </c>
      <c r="L1017" s="2">
        <v>0</v>
      </c>
      <c r="M1017" s="2">
        <v>49</v>
      </c>
      <c r="N1017" s="2">
        <v>20</v>
      </c>
      <c r="O1017" s="2">
        <v>172</v>
      </c>
      <c r="P1017" s="2">
        <v>1199</v>
      </c>
      <c r="Q1017" s="2">
        <f t="shared" si="82"/>
        <v>241</v>
      </c>
      <c r="R1017" s="2">
        <f t="shared" si="80"/>
        <v>1440</v>
      </c>
      <c r="S1017" t="str">
        <f t="shared" si="79"/>
        <v>Highly Active</v>
      </c>
      <c r="T1017" s="2">
        <v>2218</v>
      </c>
    </row>
    <row r="1018" spans="1:20" x14ac:dyDescent="0.25">
      <c r="A1018" s="2">
        <v>8253242879</v>
      </c>
      <c r="B1018" s="3">
        <v>42482</v>
      </c>
      <c r="C1018" t="str">
        <f t="shared" si="81"/>
        <v>Friday</v>
      </c>
      <c r="D1018" t="str">
        <f t="shared" si="78"/>
        <v>Weekday</v>
      </c>
      <c r="E1018" s="2">
        <v>2824</v>
      </c>
      <c r="F1018" s="2">
        <v>1.8700000050000001</v>
      </c>
      <c r="G1018" s="2">
        <v>1.8700000050000001</v>
      </c>
      <c r="H1018" s="2">
        <v>0</v>
      </c>
      <c r="I1018" s="2">
        <v>0</v>
      </c>
      <c r="J1018" s="2">
        <v>0</v>
      </c>
      <c r="K1018" s="2">
        <v>1.8700000050000001</v>
      </c>
      <c r="L1018" s="2">
        <v>0</v>
      </c>
      <c r="M1018" s="2">
        <v>0</v>
      </c>
      <c r="N1018" s="2">
        <v>0</v>
      </c>
      <c r="O1018" s="2">
        <v>120</v>
      </c>
      <c r="P1018" s="2">
        <v>1320</v>
      </c>
      <c r="Q1018" s="2">
        <f t="shared" si="82"/>
        <v>120</v>
      </c>
      <c r="R1018" s="2">
        <f t="shared" si="80"/>
        <v>1440</v>
      </c>
      <c r="S1018" t="str">
        <f t="shared" si="79"/>
        <v>Sedentary</v>
      </c>
      <c r="T1018" s="2">
        <v>1651</v>
      </c>
    </row>
    <row r="1019" spans="1:20" x14ac:dyDescent="0.25">
      <c r="A1019" s="2">
        <v>8253242879</v>
      </c>
      <c r="B1019" s="3">
        <v>42483</v>
      </c>
      <c r="C1019" t="str">
        <f t="shared" si="81"/>
        <v>Saturday</v>
      </c>
      <c r="D1019" t="str">
        <f t="shared" si="78"/>
        <v>Weekend</v>
      </c>
      <c r="E1019" s="2">
        <v>9282</v>
      </c>
      <c r="F1019" s="2">
        <v>6.2600002290000001</v>
      </c>
      <c r="G1019" s="2">
        <v>6.2600002290000001</v>
      </c>
      <c r="H1019" s="2">
        <v>0</v>
      </c>
      <c r="I1019" s="2">
        <v>2.0899999139999998</v>
      </c>
      <c r="J1019" s="2">
        <v>1.039999962</v>
      </c>
      <c r="K1019" s="2">
        <v>3.130000114</v>
      </c>
      <c r="L1019" s="2">
        <v>0</v>
      </c>
      <c r="M1019" s="2">
        <v>30</v>
      </c>
      <c r="N1019" s="2">
        <v>26</v>
      </c>
      <c r="O1019" s="2">
        <v>191</v>
      </c>
      <c r="P1019" s="2">
        <v>1193</v>
      </c>
      <c r="Q1019" s="2">
        <f t="shared" si="82"/>
        <v>247</v>
      </c>
      <c r="R1019" s="2">
        <f t="shared" si="80"/>
        <v>1440</v>
      </c>
      <c r="S1019" t="str">
        <f t="shared" si="79"/>
        <v>Fairly Active</v>
      </c>
      <c r="T1019" s="2">
        <v>2132</v>
      </c>
    </row>
    <row r="1020" spans="1:20" x14ac:dyDescent="0.25">
      <c r="A1020" s="2">
        <v>8253242879</v>
      </c>
      <c r="B1020" s="3">
        <v>42484</v>
      </c>
      <c r="C1020" t="str">
        <f t="shared" si="81"/>
        <v>Sunday</v>
      </c>
      <c r="D1020" t="str">
        <f t="shared" si="78"/>
        <v>Weekend</v>
      </c>
      <c r="E1020" s="2">
        <v>8905</v>
      </c>
      <c r="F1020" s="2">
        <v>7.1300001139999996</v>
      </c>
      <c r="G1020" s="2">
        <v>7.1300001139999996</v>
      </c>
      <c r="H1020" s="2">
        <v>0</v>
      </c>
      <c r="I1020" s="2">
        <v>5.5999999049999998</v>
      </c>
      <c r="J1020" s="2">
        <v>0.189999998</v>
      </c>
      <c r="K1020" s="2">
        <v>1.3400000329999999</v>
      </c>
      <c r="L1020" s="2">
        <v>0</v>
      </c>
      <c r="M1020" s="2">
        <v>41</v>
      </c>
      <c r="N1020" s="2">
        <v>4</v>
      </c>
      <c r="O1020" s="2">
        <v>82</v>
      </c>
      <c r="P1020" s="2">
        <v>1313</v>
      </c>
      <c r="Q1020" s="2">
        <f t="shared" si="82"/>
        <v>127</v>
      </c>
      <c r="R1020" s="2">
        <f t="shared" si="80"/>
        <v>1440</v>
      </c>
      <c r="S1020" t="str">
        <f t="shared" si="79"/>
        <v>Fairly Active</v>
      </c>
      <c r="T1020" s="2">
        <v>1976</v>
      </c>
    </row>
    <row r="1021" spans="1:20" x14ac:dyDescent="0.25">
      <c r="A1021" s="2">
        <v>8253242879</v>
      </c>
      <c r="B1021" s="3">
        <v>42485</v>
      </c>
      <c r="C1021" t="str">
        <f t="shared" si="81"/>
        <v>Monday</v>
      </c>
      <c r="D1021" t="str">
        <f t="shared" si="78"/>
        <v>Weekday</v>
      </c>
      <c r="E1021" s="2">
        <v>6829</v>
      </c>
      <c r="F1021" s="2">
        <v>4.5100002290000001</v>
      </c>
      <c r="G1021" s="2">
        <v>4.5100002290000001</v>
      </c>
      <c r="H1021" s="2">
        <v>0</v>
      </c>
      <c r="I1021" s="2">
        <v>0.36000001399999998</v>
      </c>
      <c r="J1021" s="2">
        <v>2.3900001049999999</v>
      </c>
      <c r="K1021" s="2">
        <v>1.769999981</v>
      </c>
      <c r="L1021" s="2">
        <v>0</v>
      </c>
      <c r="M1021" s="2">
        <v>7</v>
      </c>
      <c r="N1021" s="2">
        <v>54</v>
      </c>
      <c r="O1021" s="2">
        <v>118</v>
      </c>
      <c r="P1021" s="2">
        <v>1261</v>
      </c>
      <c r="Q1021" s="2">
        <f t="shared" si="82"/>
        <v>179</v>
      </c>
      <c r="R1021" s="2">
        <f t="shared" si="80"/>
        <v>1440</v>
      </c>
      <c r="S1021" t="str">
        <f t="shared" si="79"/>
        <v>Lightly Active</v>
      </c>
      <c r="T1021" s="2">
        <v>1909</v>
      </c>
    </row>
    <row r="1022" spans="1:20" x14ac:dyDescent="0.25">
      <c r="A1022" s="2">
        <v>8253242879</v>
      </c>
      <c r="B1022" s="3">
        <v>42486</v>
      </c>
      <c r="C1022" t="str">
        <f t="shared" si="81"/>
        <v>Tuesday</v>
      </c>
      <c r="D1022" t="str">
        <f t="shared" si="78"/>
        <v>Weekday</v>
      </c>
      <c r="E1022" s="2">
        <v>4562</v>
      </c>
      <c r="F1022" s="2">
        <v>3.039999962</v>
      </c>
      <c r="G1022" s="2">
        <v>3.039999962</v>
      </c>
      <c r="H1022" s="2">
        <v>0</v>
      </c>
      <c r="I1022" s="2">
        <v>1.1799999480000001</v>
      </c>
      <c r="J1022" s="2">
        <v>0.49000000999999999</v>
      </c>
      <c r="K1022" s="2">
        <v>1.3700000050000001</v>
      </c>
      <c r="L1022" s="2">
        <v>0</v>
      </c>
      <c r="M1022" s="2">
        <v>19</v>
      </c>
      <c r="N1022" s="2">
        <v>14</v>
      </c>
      <c r="O1022" s="2">
        <v>108</v>
      </c>
      <c r="P1022" s="2">
        <v>1299</v>
      </c>
      <c r="Q1022" s="2">
        <f t="shared" si="82"/>
        <v>141</v>
      </c>
      <c r="R1022" s="2">
        <f t="shared" si="80"/>
        <v>1440</v>
      </c>
      <c r="S1022" t="str">
        <f t="shared" si="79"/>
        <v>Sedentary</v>
      </c>
      <c r="T1022" s="2">
        <v>1813</v>
      </c>
    </row>
    <row r="1023" spans="1:20" x14ac:dyDescent="0.25">
      <c r="A1023" s="2">
        <v>8253242879</v>
      </c>
      <c r="B1023" s="3">
        <v>42487</v>
      </c>
      <c r="C1023" t="str">
        <f t="shared" si="81"/>
        <v>Wednesday</v>
      </c>
      <c r="D1023" t="str">
        <f t="shared" si="78"/>
        <v>Weekday</v>
      </c>
      <c r="E1023" s="2">
        <v>10232</v>
      </c>
      <c r="F1023" s="2">
        <v>8.1800003050000001</v>
      </c>
      <c r="G1023" s="2">
        <v>8.1800003050000001</v>
      </c>
      <c r="H1023" s="2">
        <v>0</v>
      </c>
      <c r="I1023" s="2">
        <v>6.2399997709999999</v>
      </c>
      <c r="J1023" s="2">
        <v>0.23000000400000001</v>
      </c>
      <c r="K1023" s="2">
        <v>1.7000000479999999</v>
      </c>
      <c r="L1023" s="2">
        <v>0</v>
      </c>
      <c r="M1023" s="2">
        <v>45</v>
      </c>
      <c r="N1023" s="2">
        <v>5</v>
      </c>
      <c r="O1023" s="2">
        <v>104</v>
      </c>
      <c r="P1023" s="2">
        <v>1286</v>
      </c>
      <c r="Q1023" s="2">
        <f t="shared" si="82"/>
        <v>154</v>
      </c>
      <c r="R1023" s="2">
        <f t="shared" si="80"/>
        <v>1440</v>
      </c>
      <c r="S1023" t="str">
        <f t="shared" si="79"/>
        <v>Highly Active</v>
      </c>
      <c r="T1023" s="2">
        <v>2008</v>
      </c>
    </row>
    <row r="1024" spans="1:20" x14ac:dyDescent="0.25">
      <c r="A1024" s="2">
        <v>8253242879</v>
      </c>
      <c r="B1024" s="3">
        <v>42488</v>
      </c>
      <c r="C1024" t="str">
        <f t="shared" si="81"/>
        <v>Thursday</v>
      </c>
      <c r="D1024" t="str">
        <f t="shared" si="78"/>
        <v>Weekday</v>
      </c>
      <c r="E1024" s="2">
        <v>2718</v>
      </c>
      <c r="F1024" s="2">
        <v>1.7999999520000001</v>
      </c>
      <c r="G1024" s="2">
        <v>1.7999999520000001</v>
      </c>
      <c r="H1024" s="2">
        <v>0</v>
      </c>
      <c r="I1024" s="2">
        <v>0.670000017</v>
      </c>
      <c r="J1024" s="2">
        <v>0.77999997099999996</v>
      </c>
      <c r="K1024" s="2">
        <v>0.34000000400000002</v>
      </c>
      <c r="L1024" s="2">
        <v>0</v>
      </c>
      <c r="M1024" s="2">
        <v>11</v>
      </c>
      <c r="N1024" s="2">
        <v>16</v>
      </c>
      <c r="O1024" s="2">
        <v>20</v>
      </c>
      <c r="P1024" s="2">
        <v>1393</v>
      </c>
      <c r="Q1024" s="2">
        <f t="shared" si="82"/>
        <v>47</v>
      </c>
      <c r="R1024" s="2">
        <f t="shared" si="80"/>
        <v>1440</v>
      </c>
      <c r="S1024" t="str">
        <f t="shared" si="79"/>
        <v>Sedentary</v>
      </c>
      <c r="T1024" s="2">
        <v>1580</v>
      </c>
    </row>
    <row r="1025" spans="1:20" x14ac:dyDescent="0.25">
      <c r="A1025" s="2">
        <v>8253242879</v>
      </c>
      <c r="B1025" s="3">
        <v>42489</v>
      </c>
      <c r="C1025" t="str">
        <f t="shared" si="81"/>
        <v>Friday</v>
      </c>
      <c r="D1025" t="str">
        <f t="shared" si="78"/>
        <v>Weekday</v>
      </c>
      <c r="E1025" s="2">
        <v>6260</v>
      </c>
      <c r="F1025" s="2">
        <v>4.2600002290000001</v>
      </c>
      <c r="G1025" s="2">
        <v>4.2600002290000001</v>
      </c>
      <c r="H1025" s="2">
        <v>0</v>
      </c>
      <c r="I1025" s="2">
        <v>1.289999962</v>
      </c>
      <c r="J1025" s="2">
        <v>0.540000021</v>
      </c>
      <c r="K1025" s="2">
        <v>2.4000000950000002</v>
      </c>
      <c r="L1025" s="2">
        <v>0</v>
      </c>
      <c r="M1025" s="2">
        <v>16</v>
      </c>
      <c r="N1025" s="2">
        <v>14</v>
      </c>
      <c r="O1025" s="2">
        <v>136</v>
      </c>
      <c r="P1025" s="2">
        <v>1257</v>
      </c>
      <c r="Q1025" s="2">
        <f t="shared" si="82"/>
        <v>166</v>
      </c>
      <c r="R1025" s="2">
        <f t="shared" si="80"/>
        <v>1423</v>
      </c>
      <c r="S1025" t="str">
        <f t="shared" si="79"/>
        <v>Lightly Active</v>
      </c>
      <c r="T1025" s="2">
        <v>1854</v>
      </c>
    </row>
    <row r="1026" spans="1:20" x14ac:dyDescent="0.25">
      <c r="A1026" s="2">
        <v>8378563200</v>
      </c>
      <c r="B1026" s="3">
        <v>42461</v>
      </c>
      <c r="C1026" t="str">
        <f t="shared" si="81"/>
        <v>Friday</v>
      </c>
      <c r="D1026" t="str">
        <f t="shared" si="78"/>
        <v>Weekday</v>
      </c>
      <c r="E1026" s="2">
        <v>14179</v>
      </c>
      <c r="F1026" s="2">
        <v>11.239999770000001</v>
      </c>
      <c r="G1026" s="2">
        <v>11.239999770000001</v>
      </c>
      <c r="H1026" s="2">
        <v>0</v>
      </c>
      <c r="I1026" s="2">
        <v>6.2300000190000002</v>
      </c>
      <c r="J1026" s="2">
        <v>1.059999943</v>
      </c>
      <c r="K1026" s="2">
        <v>3.960000038</v>
      </c>
      <c r="L1026" s="2">
        <v>0</v>
      </c>
      <c r="M1026" s="2">
        <v>73</v>
      </c>
      <c r="N1026" s="2">
        <v>21</v>
      </c>
      <c r="O1026" s="2">
        <v>195</v>
      </c>
      <c r="P1026" s="2">
        <v>719</v>
      </c>
      <c r="Q1026" s="2">
        <f t="shared" si="82"/>
        <v>289</v>
      </c>
      <c r="R1026" s="2">
        <f t="shared" si="80"/>
        <v>1008</v>
      </c>
      <c r="S1026" t="str">
        <f t="shared" si="79"/>
        <v>Highly Active</v>
      </c>
      <c r="T1026" s="2">
        <v>3669</v>
      </c>
    </row>
    <row r="1027" spans="1:20" x14ac:dyDescent="0.25">
      <c r="A1027" s="2">
        <v>8378563200</v>
      </c>
      <c r="B1027" s="3">
        <v>42462</v>
      </c>
      <c r="C1027" t="str">
        <f t="shared" si="81"/>
        <v>Saturday</v>
      </c>
      <c r="D1027" t="str">
        <f t="shared" ref="D1027:D1090" si="83">IF(OR(C1027="Saturday", C1027="Sunday"), "Weekend", "Weekday")</f>
        <v>Weekend</v>
      </c>
      <c r="E1027" s="2">
        <v>3358</v>
      </c>
      <c r="F1027" s="2">
        <v>2.6600000860000002</v>
      </c>
      <c r="G1027" s="2">
        <v>2.6600000860000002</v>
      </c>
      <c r="H1027" s="2">
        <v>0</v>
      </c>
      <c r="I1027" s="2">
        <v>0</v>
      </c>
      <c r="J1027" s="2">
        <v>0</v>
      </c>
      <c r="K1027" s="2">
        <v>2.6600000860000002</v>
      </c>
      <c r="L1027" s="2">
        <v>0</v>
      </c>
      <c r="M1027" s="2">
        <v>0</v>
      </c>
      <c r="N1027" s="2">
        <v>0</v>
      </c>
      <c r="O1027" s="2">
        <v>144</v>
      </c>
      <c r="P1027" s="2">
        <v>657</v>
      </c>
      <c r="Q1027" s="2">
        <f t="shared" si="82"/>
        <v>144</v>
      </c>
      <c r="R1027" s="2">
        <f t="shared" si="80"/>
        <v>801</v>
      </c>
      <c r="S1027" t="str">
        <f t="shared" ref="S1027:S1090" si="84">IF(E1027&lt;5000, "Sedentary", IF(E1027&lt;7500, "Lightly Active", IF(E1027&lt;10000, "Fairly Active", "Highly Active")))</f>
        <v>Sedentary</v>
      </c>
      <c r="T1027" s="2">
        <v>2702</v>
      </c>
    </row>
    <row r="1028" spans="1:20" x14ac:dyDescent="0.25">
      <c r="A1028" s="2">
        <v>8378563200</v>
      </c>
      <c r="B1028" s="3">
        <v>42463</v>
      </c>
      <c r="C1028" t="str">
        <f t="shared" si="81"/>
        <v>Sunday</v>
      </c>
      <c r="D1028" t="str">
        <f t="shared" si="83"/>
        <v>Weekend</v>
      </c>
      <c r="E1028" s="2">
        <v>9152</v>
      </c>
      <c r="F1028" s="2">
        <v>7.2600002290000001</v>
      </c>
      <c r="G1028" s="2">
        <v>7.2600002290000001</v>
      </c>
      <c r="H1028" s="2">
        <v>0</v>
      </c>
      <c r="I1028" s="2">
        <v>1.9900000099999999</v>
      </c>
      <c r="J1028" s="2">
        <v>0.81999999300000004</v>
      </c>
      <c r="K1028" s="2">
        <v>4.4499998090000004</v>
      </c>
      <c r="L1028" s="2">
        <v>0</v>
      </c>
      <c r="M1028" s="2">
        <v>25</v>
      </c>
      <c r="N1028" s="2">
        <v>13</v>
      </c>
      <c r="O1028" s="2">
        <v>243</v>
      </c>
      <c r="P1028" s="2">
        <v>600</v>
      </c>
      <c r="Q1028" s="2">
        <f t="shared" si="82"/>
        <v>281</v>
      </c>
      <c r="R1028" s="2">
        <f t="shared" si="80"/>
        <v>881</v>
      </c>
      <c r="S1028" t="str">
        <f t="shared" si="84"/>
        <v>Fairly Active</v>
      </c>
      <c r="T1028" s="2">
        <v>3304</v>
      </c>
    </row>
    <row r="1029" spans="1:20" x14ac:dyDescent="0.25">
      <c r="A1029" s="2">
        <v>8378563200</v>
      </c>
      <c r="B1029" s="3">
        <v>42464</v>
      </c>
      <c r="C1029" t="str">
        <f t="shared" si="81"/>
        <v>Monday</v>
      </c>
      <c r="D1029" t="str">
        <f t="shared" si="83"/>
        <v>Weekday</v>
      </c>
      <c r="E1029" s="2">
        <v>13935</v>
      </c>
      <c r="F1029" s="2">
        <v>11.05000019</v>
      </c>
      <c r="G1029" s="2">
        <v>11.05000019</v>
      </c>
      <c r="H1029" s="2">
        <v>2.0921471120000001</v>
      </c>
      <c r="I1029" s="2">
        <v>4.0900001530000001</v>
      </c>
      <c r="J1029" s="2">
        <v>0.790000021</v>
      </c>
      <c r="K1029" s="2">
        <v>6.170000076</v>
      </c>
      <c r="L1029" s="2">
        <v>0</v>
      </c>
      <c r="M1029" s="2">
        <v>105</v>
      </c>
      <c r="N1029" s="2">
        <v>16</v>
      </c>
      <c r="O1029" s="2">
        <v>220</v>
      </c>
      <c r="P1029" s="2">
        <v>658</v>
      </c>
      <c r="Q1029" s="2">
        <f t="shared" si="82"/>
        <v>341</v>
      </c>
      <c r="R1029" s="2">
        <f t="shared" si="80"/>
        <v>999</v>
      </c>
      <c r="S1029" t="str">
        <f t="shared" si="84"/>
        <v>Highly Active</v>
      </c>
      <c r="T1029" s="2">
        <v>4234</v>
      </c>
    </row>
    <row r="1030" spans="1:20" x14ac:dyDescent="0.25">
      <c r="A1030" s="2">
        <v>8378563200</v>
      </c>
      <c r="B1030" s="3">
        <v>42465</v>
      </c>
      <c r="C1030" t="str">
        <f t="shared" si="81"/>
        <v>Tuesday</v>
      </c>
      <c r="D1030" t="str">
        <f t="shared" si="83"/>
        <v>Weekday</v>
      </c>
      <c r="E1030" s="2">
        <v>12846</v>
      </c>
      <c r="F1030" s="2">
        <v>10.18999958</v>
      </c>
      <c r="G1030" s="2">
        <v>10.18999958</v>
      </c>
      <c r="H1030" s="2">
        <v>2.2530810830000001</v>
      </c>
      <c r="I1030" s="2">
        <v>5</v>
      </c>
      <c r="J1030" s="2">
        <v>0.75</v>
      </c>
      <c r="K1030" s="2">
        <v>4.4400000569999998</v>
      </c>
      <c r="L1030" s="2">
        <v>0</v>
      </c>
      <c r="M1030" s="2">
        <v>113</v>
      </c>
      <c r="N1030" s="2">
        <v>15</v>
      </c>
      <c r="O1030" s="2">
        <v>189</v>
      </c>
      <c r="P1030" s="2">
        <v>686</v>
      </c>
      <c r="Q1030" s="2">
        <f t="shared" si="82"/>
        <v>317</v>
      </c>
      <c r="R1030" s="2">
        <f t="shared" si="80"/>
        <v>1003</v>
      </c>
      <c r="S1030" t="str">
        <f t="shared" si="84"/>
        <v>Highly Active</v>
      </c>
      <c r="T1030" s="2">
        <v>4128</v>
      </c>
    </row>
    <row r="1031" spans="1:20" x14ac:dyDescent="0.25">
      <c r="A1031" s="2">
        <v>8378563200</v>
      </c>
      <c r="B1031" s="3">
        <v>42466</v>
      </c>
      <c r="C1031" t="str">
        <f t="shared" si="81"/>
        <v>Wednesday</v>
      </c>
      <c r="D1031" t="str">
        <f t="shared" si="83"/>
        <v>Weekday</v>
      </c>
      <c r="E1031" s="2">
        <v>9124</v>
      </c>
      <c r="F1031" s="2">
        <v>7.2399997709999999</v>
      </c>
      <c r="G1031" s="2">
        <v>7.2399997709999999</v>
      </c>
      <c r="H1031" s="2">
        <v>2.0921471120000001</v>
      </c>
      <c r="I1031" s="2">
        <v>0</v>
      </c>
      <c r="J1031" s="2">
        <v>0.25</v>
      </c>
      <c r="K1031" s="2">
        <v>6.9899997709999999</v>
      </c>
      <c r="L1031" s="2">
        <v>0</v>
      </c>
      <c r="M1031" s="2">
        <v>55</v>
      </c>
      <c r="N1031" s="2">
        <v>6</v>
      </c>
      <c r="O1031" s="2">
        <v>230</v>
      </c>
      <c r="P1031" s="2">
        <v>728</v>
      </c>
      <c r="Q1031" s="2">
        <f t="shared" si="82"/>
        <v>291</v>
      </c>
      <c r="R1031" s="2">
        <f t="shared" si="80"/>
        <v>1019</v>
      </c>
      <c r="S1031" t="str">
        <f t="shared" si="84"/>
        <v>Fairly Active</v>
      </c>
      <c r="T1031" s="2">
        <v>3798</v>
      </c>
    </row>
    <row r="1032" spans="1:20" x14ac:dyDescent="0.25">
      <c r="A1032" s="2">
        <v>8378563200</v>
      </c>
      <c r="B1032" s="3">
        <v>42467</v>
      </c>
      <c r="C1032" t="str">
        <f t="shared" si="81"/>
        <v>Thursday</v>
      </c>
      <c r="D1032" t="str">
        <f t="shared" si="83"/>
        <v>Weekday</v>
      </c>
      <c r="E1032" s="2">
        <v>9725</v>
      </c>
      <c r="F1032" s="2">
        <v>7.7100000380000004</v>
      </c>
      <c r="G1032" s="2">
        <v>7.7100000380000004</v>
      </c>
      <c r="H1032" s="2">
        <v>2.2530810830000001</v>
      </c>
      <c r="I1032" s="2">
        <v>2.4100000860000002</v>
      </c>
      <c r="J1032" s="2">
        <v>0.52999997099999996</v>
      </c>
      <c r="K1032" s="2">
        <v>4.7699999809999998</v>
      </c>
      <c r="L1032" s="2">
        <v>0</v>
      </c>
      <c r="M1032" s="2">
        <v>83</v>
      </c>
      <c r="N1032" s="2">
        <v>11</v>
      </c>
      <c r="O1032" s="2">
        <v>181</v>
      </c>
      <c r="P1032" s="2">
        <v>670</v>
      </c>
      <c r="Q1032" s="2">
        <f t="shared" si="82"/>
        <v>275</v>
      </c>
      <c r="R1032" s="2">
        <f t="shared" si="80"/>
        <v>945</v>
      </c>
      <c r="S1032" t="str">
        <f t="shared" si="84"/>
        <v>Fairly Active</v>
      </c>
      <c r="T1032" s="2">
        <v>3839</v>
      </c>
    </row>
    <row r="1033" spans="1:20" x14ac:dyDescent="0.25">
      <c r="A1033" s="2">
        <v>8378563200</v>
      </c>
      <c r="B1033" s="3">
        <v>42468</v>
      </c>
      <c r="C1033" t="str">
        <f t="shared" si="81"/>
        <v>Friday</v>
      </c>
      <c r="D1033" t="str">
        <f t="shared" si="83"/>
        <v>Weekday</v>
      </c>
      <c r="E1033" s="2">
        <v>8350</v>
      </c>
      <c r="F1033" s="2">
        <v>6.6199998860000004</v>
      </c>
      <c r="G1033" s="2">
        <v>6.6199998860000004</v>
      </c>
      <c r="H1033" s="2">
        <v>2.0921471120000001</v>
      </c>
      <c r="I1033" s="2">
        <v>1.4900000099999999</v>
      </c>
      <c r="J1033" s="2">
        <v>0.52999997099999996</v>
      </c>
      <c r="K1033" s="2">
        <v>4.6100001339999999</v>
      </c>
      <c r="L1033" s="2">
        <v>0</v>
      </c>
      <c r="M1033" s="2">
        <v>72</v>
      </c>
      <c r="N1033" s="2">
        <v>10</v>
      </c>
      <c r="O1033" s="2">
        <v>167</v>
      </c>
      <c r="P1033" s="2">
        <v>868</v>
      </c>
      <c r="Q1033" s="2">
        <f t="shared" si="82"/>
        <v>249</v>
      </c>
      <c r="R1033" s="2">
        <f t="shared" si="80"/>
        <v>1117</v>
      </c>
      <c r="S1033" t="str">
        <f t="shared" si="84"/>
        <v>Fairly Active</v>
      </c>
      <c r="T1033" s="2">
        <v>3713</v>
      </c>
    </row>
    <row r="1034" spans="1:20" x14ac:dyDescent="0.25">
      <c r="A1034" s="2">
        <v>8378563200</v>
      </c>
      <c r="B1034" s="3">
        <v>42469</v>
      </c>
      <c r="C1034" t="str">
        <f t="shared" si="81"/>
        <v>Saturday</v>
      </c>
      <c r="D1034" t="str">
        <f t="shared" si="83"/>
        <v>Weekend</v>
      </c>
      <c r="E1034" s="2">
        <v>2240</v>
      </c>
      <c r="F1034" s="2">
        <v>1.7799999710000001</v>
      </c>
      <c r="G1034" s="2">
        <v>1.7799999710000001</v>
      </c>
      <c r="H1034" s="2">
        <v>0</v>
      </c>
      <c r="I1034" s="2">
        <v>0</v>
      </c>
      <c r="J1034" s="2">
        <v>0</v>
      </c>
      <c r="K1034" s="2">
        <v>1.7799999710000001</v>
      </c>
      <c r="L1034" s="2">
        <v>0</v>
      </c>
      <c r="M1034" s="2">
        <v>0</v>
      </c>
      <c r="N1034" s="2">
        <v>0</v>
      </c>
      <c r="O1034" s="2">
        <v>110</v>
      </c>
      <c r="P1034" s="2">
        <v>843</v>
      </c>
      <c r="Q1034" s="2">
        <f t="shared" si="82"/>
        <v>110</v>
      </c>
      <c r="R1034" s="2">
        <f t="shared" si="80"/>
        <v>953</v>
      </c>
      <c r="S1034" t="str">
        <f t="shared" si="84"/>
        <v>Sedentary</v>
      </c>
      <c r="T1034" s="2">
        <v>2606</v>
      </c>
    </row>
    <row r="1035" spans="1:20" x14ac:dyDescent="0.25">
      <c r="A1035" s="2">
        <v>8378563200</v>
      </c>
      <c r="B1035" s="3">
        <v>42470</v>
      </c>
      <c r="C1035" t="str">
        <f t="shared" si="81"/>
        <v>Sunday</v>
      </c>
      <c r="D1035" t="str">
        <f t="shared" si="83"/>
        <v>Weekend</v>
      </c>
      <c r="E1035" s="2">
        <v>2631</v>
      </c>
      <c r="F1035" s="2">
        <v>2.0899999139999998</v>
      </c>
      <c r="G1035" s="2">
        <v>2.0899999139999998</v>
      </c>
      <c r="H1035" s="2">
        <v>0</v>
      </c>
      <c r="I1035" s="2">
        <v>0</v>
      </c>
      <c r="J1035" s="2">
        <v>0</v>
      </c>
      <c r="K1035" s="2">
        <v>2.0899999139999998</v>
      </c>
      <c r="L1035" s="2">
        <v>0</v>
      </c>
      <c r="M1035" s="2">
        <v>0</v>
      </c>
      <c r="N1035" s="2">
        <v>0</v>
      </c>
      <c r="O1035" s="2">
        <v>117</v>
      </c>
      <c r="P1035" s="2">
        <v>727</v>
      </c>
      <c r="Q1035" s="2">
        <f t="shared" si="82"/>
        <v>117</v>
      </c>
      <c r="R1035" s="2">
        <f t="shared" si="80"/>
        <v>844</v>
      </c>
      <c r="S1035" t="str">
        <f t="shared" si="84"/>
        <v>Sedentary</v>
      </c>
      <c r="T1035" s="2">
        <v>2624</v>
      </c>
    </row>
    <row r="1036" spans="1:20" x14ac:dyDescent="0.25">
      <c r="A1036" s="2">
        <v>8378563200</v>
      </c>
      <c r="B1036" s="3">
        <v>42471</v>
      </c>
      <c r="C1036" t="str">
        <f t="shared" si="81"/>
        <v>Monday</v>
      </c>
      <c r="D1036" t="str">
        <f t="shared" si="83"/>
        <v>Weekday</v>
      </c>
      <c r="E1036" s="2">
        <v>8837</v>
      </c>
      <c r="F1036" s="2">
        <v>7.0100002290000001</v>
      </c>
      <c r="G1036" s="2">
        <v>7.0100002290000001</v>
      </c>
      <c r="H1036" s="2">
        <v>2.0921471120000001</v>
      </c>
      <c r="I1036" s="2">
        <v>1.539999962</v>
      </c>
      <c r="J1036" s="2">
        <v>0.87999999500000003</v>
      </c>
      <c r="K1036" s="2">
        <v>4.5900001530000001</v>
      </c>
      <c r="L1036" s="2">
        <v>0</v>
      </c>
      <c r="M1036" s="2">
        <v>74</v>
      </c>
      <c r="N1036" s="2">
        <v>17</v>
      </c>
      <c r="O1036" s="2">
        <v>182</v>
      </c>
      <c r="P1036" s="2">
        <v>811</v>
      </c>
      <c r="Q1036" s="2">
        <f t="shared" si="82"/>
        <v>273</v>
      </c>
      <c r="R1036" s="2">
        <f t="shared" si="80"/>
        <v>1084</v>
      </c>
      <c r="S1036" t="str">
        <f t="shared" si="84"/>
        <v>Fairly Active</v>
      </c>
      <c r="T1036" s="2">
        <v>3775</v>
      </c>
    </row>
    <row r="1037" spans="1:20" x14ac:dyDescent="0.25">
      <c r="A1037" s="2">
        <v>8378563200</v>
      </c>
      <c r="B1037" s="3">
        <v>42473</v>
      </c>
      <c r="C1037" t="str">
        <f t="shared" si="81"/>
        <v>Wednesday</v>
      </c>
      <c r="D1037" t="str">
        <f t="shared" si="83"/>
        <v>Weekday</v>
      </c>
      <c r="E1037" s="2">
        <v>12386</v>
      </c>
      <c r="F1037" s="2">
        <v>9.8199996949999999</v>
      </c>
      <c r="G1037" s="2">
        <v>9.8199996949999999</v>
      </c>
      <c r="H1037" s="2">
        <v>2.0921471120000001</v>
      </c>
      <c r="I1037" s="2">
        <v>4.9600000380000004</v>
      </c>
      <c r="J1037" s="2">
        <v>0.64999997600000003</v>
      </c>
      <c r="K1037" s="2">
        <v>4.2100000380000004</v>
      </c>
      <c r="L1037" s="2">
        <v>0</v>
      </c>
      <c r="M1037" s="2">
        <v>116</v>
      </c>
      <c r="N1037" s="2">
        <v>14</v>
      </c>
      <c r="O1037" s="2">
        <v>169</v>
      </c>
      <c r="P1037" s="2">
        <v>680</v>
      </c>
      <c r="Q1037" s="2">
        <f t="shared" si="82"/>
        <v>299</v>
      </c>
      <c r="R1037" s="2">
        <f t="shared" si="80"/>
        <v>979</v>
      </c>
      <c r="S1037" t="str">
        <f t="shared" si="84"/>
        <v>Highly Active</v>
      </c>
      <c r="T1037" s="2">
        <v>4079</v>
      </c>
    </row>
    <row r="1038" spans="1:20" x14ac:dyDescent="0.25">
      <c r="A1038" s="2">
        <v>8378563200</v>
      </c>
      <c r="B1038" s="3">
        <v>42474</v>
      </c>
      <c r="C1038" t="str">
        <f t="shared" si="81"/>
        <v>Thursday</v>
      </c>
      <c r="D1038" t="str">
        <f t="shared" si="83"/>
        <v>Weekday</v>
      </c>
      <c r="E1038" s="2">
        <v>13318</v>
      </c>
      <c r="F1038" s="2">
        <v>10.56000042</v>
      </c>
      <c r="G1038" s="2">
        <v>10.56000042</v>
      </c>
      <c r="H1038" s="2">
        <v>2.2530810830000001</v>
      </c>
      <c r="I1038" s="2">
        <v>5.6199998860000004</v>
      </c>
      <c r="J1038" s="2">
        <v>1.0299999710000001</v>
      </c>
      <c r="K1038" s="2">
        <v>3.9100000860000002</v>
      </c>
      <c r="L1038" s="2">
        <v>0</v>
      </c>
      <c r="M1038" s="2">
        <v>123</v>
      </c>
      <c r="N1038" s="2">
        <v>21</v>
      </c>
      <c r="O1038" s="2">
        <v>174</v>
      </c>
      <c r="P1038" s="2">
        <v>699</v>
      </c>
      <c r="Q1038" s="2">
        <f t="shared" si="82"/>
        <v>318</v>
      </c>
      <c r="R1038" s="2">
        <f t="shared" si="80"/>
        <v>1017</v>
      </c>
      <c r="S1038" t="str">
        <f t="shared" si="84"/>
        <v>Highly Active</v>
      </c>
      <c r="T1038" s="2">
        <v>4163</v>
      </c>
    </row>
    <row r="1039" spans="1:20" x14ac:dyDescent="0.25">
      <c r="A1039" s="2">
        <v>8378563200</v>
      </c>
      <c r="B1039" s="3">
        <v>42475</v>
      </c>
      <c r="C1039" t="str">
        <f t="shared" si="81"/>
        <v>Friday</v>
      </c>
      <c r="D1039" t="str">
        <f t="shared" si="83"/>
        <v>Weekday</v>
      </c>
      <c r="E1039" s="2">
        <v>14461</v>
      </c>
      <c r="F1039" s="2">
        <v>11.47000027</v>
      </c>
      <c r="G1039" s="2">
        <v>11.47000027</v>
      </c>
      <c r="H1039" s="2">
        <v>0</v>
      </c>
      <c r="I1039" s="2">
        <v>4.9099998469999999</v>
      </c>
      <c r="J1039" s="2">
        <v>1.1499999759999999</v>
      </c>
      <c r="K1039" s="2">
        <v>5.4099998469999999</v>
      </c>
      <c r="L1039" s="2">
        <v>0</v>
      </c>
      <c r="M1039" s="2">
        <v>60</v>
      </c>
      <c r="N1039" s="2">
        <v>23</v>
      </c>
      <c r="O1039" s="2">
        <v>190</v>
      </c>
      <c r="P1039" s="2">
        <v>729</v>
      </c>
      <c r="Q1039" s="2">
        <f t="shared" si="82"/>
        <v>273</v>
      </c>
      <c r="R1039" s="2">
        <f t="shared" si="80"/>
        <v>1002</v>
      </c>
      <c r="S1039" t="str">
        <f t="shared" si="84"/>
        <v>Highly Active</v>
      </c>
      <c r="T1039" s="2">
        <v>3666</v>
      </c>
    </row>
    <row r="1040" spans="1:20" x14ac:dyDescent="0.25">
      <c r="A1040" s="2">
        <v>8378563200</v>
      </c>
      <c r="B1040" s="3">
        <v>42476</v>
      </c>
      <c r="C1040" t="str">
        <f t="shared" si="81"/>
        <v>Saturday</v>
      </c>
      <c r="D1040" t="str">
        <f t="shared" si="83"/>
        <v>Weekend</v>
      </c>
      <c r="E1040" s="2">
        <v>11207</v>
      </c>
      <c r="F1040" s="2">
        <v>8.8900003430000005</v>
      </c>
      <c r="G1040" s="2">
        <v>8.8900003430000005</v>
      </c>
      <c r="H1040" s="2">
        <v>0</v>
      </c>
      <c r="I1040" s="2">
        <v>5.3699998860000004</v>
      </c>
      <c r="J1040" s="2">
        <v>1.0700000519999999</v>
      </c>
      <c r="K1040" s="2">
        <v>2.4400000569999998</v>
      </c>
      <c r="L1040" s="2">
        <v>0</v>
      </c>
      <c r="M1040" s="2">
        <v>64</v>
      </c>
      <c r="N1040" s="2">
        <v>21</v>
      </c>
      <c r="O1040" s="2">
        <v>142</v>
      </c>
      <c r="P1040" s="2">
        <v>563</v>
      </c>
      <c r="Q1040" s="2">
        <f t="shared" si="82"/>
        <v>227</v>
      </c>
      <c r="R1040" s="2">
        <f t="shared" si="80"/>
        <v>790</v>
      </c>
      <c r="S1040" t="str">
        <f t="shared" si="84"/>
        <v>Highly Active</v>
      </c>
      <c r="T1040" s="2">
        <v>3363</v>
      </c>
    </row>
    <row r="1041" spans="1:20" x14ac:dyDescent="0.25">
      <c r="A1041" s="2">
        <v>8378563200</v>
      </c>
      <c r="B1041" s="3">
        <v>42477</v>
      </c>
      <c r="C1041" t="str">
        <f t="shared" si="81"/>
        <v>Sunday</v>
      </c>
      <c r="D1041" t="str">
        <f t="shared" si="83"/>
        <v>Weekend</v>
      </c>
      <c r="E1041" s="2">
        <v>2132</v>
      </c>
      <c r="F1041" s="2">
        <v>1.690000057</v>
      </c>
      <c r="G1041" s="2">
        <v>1.690000057</v>
      </c>
      <c r="H1041" s="2">
        <v>0</v>
      </c>
      <c r="I1041" s="2">
        <v>0</v>
      </c>
      <c r="J1041" s="2">
        <v>0</v>
      </c>
      <c r="K1041" s="2">
        <v>1.690000057</v>
      </c>
      <c r="L1041" s="2">
        <v>0</v>
      </c>
      <c r="M1041" s="2">
        <v>0</v>
      </c>
      <c r="N1041" s="2">
        <v>0</v>
      </c>
      <c r="O1041" s="2">
        <v>93</v>
      </c>
      <c r="P1041" s="2">
        <v>599</v>
      </c>
      <c r="Q1041" s="2">
        <f t="shared" si="82"/>
        <v>93</v>
      </c>
      <c r="R1041" s="2">
        <f t="shared" si="80"/>
        <v>692</v>
      </c>
      <c r="S1041" t="str">
        <f t="shared" si="84"/>
        <v>Sedentary</v>
      </c>
      <c r="T1041" s="2">
        <v>2572</v>
      </c>
    </row>
    <row r="1042" spans="1:20" x14ac:dyDescent="0.25">
      <c r="A1042" s="2">
        <v>8378563200</v>
      </c>
      <c r="B1042" s="3">
        <v>42478</v>
      </c>
      <c r="C1042" t="str">
        <f t="shared" si="81"/>
        <v>Monday</v>
      </c>
      <c r="D1042" t="str">
        <f t="shared" si="83"/>
        <v>Weekday</v>
      </c>
      <c r="E1042" s="2">
        <v>13630</v>
      </c>
      <c r="F1042" s="2">
        <v>10.81000042</v>
      </c>
      <c r="G1042" s="2">
        <v>10.81000042</v>
      </c>
      <c r="H1042" s="2">
        <v>2.0921471120000001</v>
      </c>
      <c r="I1042" s="2">
        <v>5.0500001909999996</v>
      </c>
      <c r="J1042" s="2">
        <v>0.560000002</v>
      </c>
      <c r="K1042" s="2">
        <v>5.1999998090000004</v>
      </c>
      <c r="L1042" s="2">
        <v>0</v>
      </c>
      <c r="M1042" s="2">
        <v>117</v>
      </c>
      <c r="N1042" s="2">
        <v>10</v>
      </c>
      <c r="O1042" s="2">
        <v>174</v>
      </c>
      <c r="P1042" s="2">
        <v>720</v>
      </c>
      <c r="Q1042" s="2">
        <f t="shared" si="82"/>
        <v>301</v>
      </c>
      <c r="R1042" s="2">
        <f t="shared" si="80"/>
        <v>1021</v>
      </c>
      <c r="S1042" t="str">
        <f t="shared" si="84"/>
        <v>Highly Active</v>
      </c>
      <c r="T1042" s="2">
        <v>4157</v>
      </c>
    </row>
    <row r="1043" spans="1:20" x14ac:dyDescent="0.25">
      <c r="A1043" s="2">
        <v>8378563200</v>
      </c>
      <c r="B1043" s="3">
        <v>42479</v>
      </c>
      <c r="C1043" t="str">
        <f t="shared" si="81"/>
        <v>Tuesday</v>
      </c>
      <c r="D1043" t="str">
        <f t="shared" si="83"/>
        <v>Weekday</v>
      </c>
      <c r="E1043" s="2">
        <v>13070</v>
      </c>
      <c r="F1043" s="2">
        <v>10.35999966</v>
      </c>
      <c r="G1043" s="2">
        <v>10.35999966</v>
      </c>
      <c r="H1043" s="2">
        <v>2.2530810830000001</v>
      </c>
      <c r="I1043" s="2">
        <v>5.3000001909999996</v>
      </c>
      <c r="J1043" s="2">
        <v>0.87999999500000003</v>
      </c>
      <c r="K1043" s="2">
        <v>4.1799998279999997</v>
      </c>
      <c r="L1043" s="2">
        <v>0</v>
      </c>
      <c r="M1043" s="2">
        <v>120</v>
      </c>
      <c r="N1043" s="2">
        <v>19</v>
      </c>
      <c r="O1043" s="2">
        <v>154</v>
      </c>
      <c r="P1043" s="2">
        <v>737</v>
      </c>
      <c r="Q1043" s="2">
        <f t="shared" si="82"/>
        <v>293</v>
      </c>
      <c r="R1043" s="2">
        <f t="shared" ref="R1043:R1105" si="85">SUM(M1043:P1043)</f>
        <v>1030</v>
      </c>
      <c r="S1043" t="str">
        <f t="shared" si="84"/>
        <v>Highly Active</v>
      </c>
      <c r="T1043" s="2">
        <v>4092</v>
      </c>
    </row>
    <row r="1044" spans="1:20" x14ac:dyDescent="0.25">
      <c r="A1044" s="2">
        <v>8378563200</v>
      </c>
      <c r="B1044" s="3">
        <v>42480</v>
      </c>
      <c r="C1044" t="str">
        <f t="shared" si="81"/>
        <v>Wednesday</v>
      </c>
      <c r="D1044" t="str">
        <f t="shared" si="83"/>
        <v>Weekday</v>
      </c>
      <c r="E1044" s="2">
        <v>9388</v>
      </c>
      <c r="F1044" s="2">
        <v>7.4400000569999998</v>
      </c>
      <c r="G1044" s="2">
        <v>7.4400000569999998</v>
      </c>
      <c r="H1044" s="2">
        <v>2.0921471120000001</v>
      </c>
      <c r="I1044" s="2">
        <v>2.2300000190000002</v>
      </c>
      <c r="J1044" s="2">
        <v>0.439999998</v>
      </c>
      <c r="K1044" s="2">
        <v>4.7800002099999999</v>
      </c>
      <c r="L1044" s="2">
        <v>0</v>
      </c>
      <c r="M1044" s="2">
        <v>82</v>
      </c>
      <c r="N1044" s="2">
        <v>8</v>
      </c>
      <c r="O1044" s="2">
        <v>169</v>
      </c>
      <c r="P1044" s="2">
        <v>763</v>
      </c>
      <c r="Q1044" s="2">
        <f t="shared" si="82"/>
        <v>259</v>
      </c>
      <c r="R1044" s="2">
        <f t="shared" si="85"/>
        <v>1022</v>
      </c>
      <c r="S1044" t="str">
        <f t="shared" si="84"/>
        <v>Fairly Active</v>
      </c>
      <c r="T1044" s="2">
        <v>3787</v>
      </c>
    </row>
    <row r="1045" spans="1:20" x14ac:dyDescent="0.25">
      <c r="A1045" s="2">
        <v>8378563200</v>
      </c>
      <c r="B1045" s="3">
        <v>42481</v>
      </c>
      <c r="C1045" t="str">
        <f t="shared" si="81"/>
        <v>Thursday</v>
      </c>
      <c r="D1045" t="str">
        <f t="shared" si="83"/>
        <v>Weekday</v>
      </c>
      <c r="E1045" s="2">
        <v>15148</v>
      </c>
      <c r="F1045" s="2">
        <v>12.010000229999999</v>
      </c>
      <c r="G1045" s="2">
        <v>12.010000229999999</v>
      </c>
      <c r="H1045" s="2">
        <v>2.2530810830000001</v>
      </c>
      <c r="I1045" s="2">
        <v>6.9000000950000002</v>
      </c>
      <c r="J1045" s="2">
        <v>0.81999999300000004</v>
      </c>
      <c r="K1045" s="2">
        <v>4.2899999619999996</v>
      </c>
      <c r="L1045" s="2">
        <v>0</v>
      </c>
      <c r="M1045" s="2">
        <v>137</v>
      </c>
      <c r="N1045" s="2">
        <v>16</v>
      </c>
      <c r="O1045" s="2">
        <v>145</v>
      </c>
      <c r="P1045" s="2">
        <v>677</v>
      </c>
      <c r="Q1045" s="2">
        <f t="shared" si="82"/>
        <v>298</v>
      </c>
      <c r="R1045" s="2">
        <f t="shared" si="85"/>
        <v>975</v>
      </c>
      <c r="S1045" t="str">
        <f t="shared" si="84"/>
        <v>Highly Active</v>
      </c>
      <c r="T1045" s="2">
        <v>4236</v>
      </c>
    </row>
    <row r="1046" spans="1:20" x14ac:dyDescent="0.25">
      <c r="A1046" s="2">
        <v>8378563200</v>
      </c>
      <c r="B1046" s="3">
        <v>42482</v>
      </c>
      <c r="C1046" t="str">
        <f t="shared" si="81"/>
        <v>Friday</v>
      </c>
      <c r="D1046" t="str">
        <f t="shared" si="83"/>
        <v>Weekday</v>
      </c>
      <c r="E1046" s="2">
        <v>12200</v>
      </c>
      <c r="F1046" s="2">
        <v>9.6700000760000009</v>
      </c>
      <c r="G1046" s="2">
        <v>9.6700000760000009</v>
      </c>
      <c r="H1046" s="2">
        <v>2.0921471120000001</v>
      </c>
      <c r="I1046" s="2">
        <v>4.9099998469999999</v>
      </c>
      <c r="J1046" s="2">
        <v>0.58999997400000004</v>
      </c>
      <c r="K1046" s="2">
        <v>4.1799998279999997</v>
      </c>
      <c r="L1046" s="2">
        <v>0</v>
      </c>
      <c r="M1046" s="2">
        <v>113</v>
      </c>
      <c r="N1046" s="2">
        <v>12</v>
      </c>
      <c r="O1046" s="2">
        <v>159</v>
      </c>
      <c r="P1046" s="2">
        <v>769</v>
      </c>
      <c r="Q1046" s="2">
        <f t="shared" si="82"/>
        <v>284</v>
      </c>
      <c r="R1046" s="2">
        <f t="shared" si="85"/>
        <v>1053</v>
      </c>
      <c r="S1046" t="str">
        <f t="shared" si="84"/>
        <v>Highly Active</v>
      </c>
      <c r="T1046" s="2">
        <v>4044</v>
      </c>
    </row>
    <row r="1047" spans="1:20" x14ac:dyDescent="0.25">
      <c r="A1047" s="2">
        <v>8378563200</v>
      </c>
      <c r="B1047" s="3">
        <v>42483</v>
      </c>
      <c r="C1047" t="str">
        <f t="shared" si="81"/>
        <v>Saturday</v>
      </c>
      <c r="D1047" t="str">
        <f t="shared" si="83"/>
        <v>Weekend</v>
      </c>
      <c r="E1047" s="2">
        <v>5709</v>
      </c>
      <c r="F1047" s="2">
        <v>4.5300002099999999</v>
      </c>
      <c r="G1047" s="2">
        <v>4.5300002099999999</v>
      </c>
      <c r="H1047" s="2">
        <v>0</v>
      </c>
      <c r="I1047" s="2">
        <v>1.519999981</v>
      </c>
      <c r="J1047" s="2">
        <v>0.519999981</v>
      </c>
      <c r="K1047" s="2">
        <v>2.4800000190000002</v>
      </c>
      <c r="L1047" s="2">
        <v>0</v>
      </c>
      <c r="M1047" s="2">
        <v>19</v>
      </c>
      <c r="N1047" s="2">
        <v>10</v>
      </c>
      <c r="O1047" s="2">
        <v>136</v>
      </c>
      <c r="P1047" s="2">
        <v>740</v>
      </c>
      <c r="Q1047" s="2">
        <f t="shared" si="82"/>
        <v>165</v>
      </c>
      <c r="R1047" s="2">
        <f t="shared" si="85"/>
        <v>905</v>
      </c>
      <c r="S1047" t="str">
        <f t="shared" si="84"/>
        <v>Lightly Active</v>
      </c>
      <c r="T1047" s="2">
        <v>2908</v>
      </c>
    </row>
    <row r="1048" spans="1:20" x14ac:dyDescent="0.25">
      <c r="A1048" s="2">
        <v>8378563200</v>
      </c>
      <c r="B1048" s="3">
        <v>42484</v>
      </c>
      <c r="C1048" t="str">
        <f t="shared" ref="C1048:C1108" si="86">CHOOSE(WEEKDAY(B1048), "Sunday", "Monday", "Tuesday", "Wednesday", "Thursday", "Friday", "Saturday")</f>
        <v>Sunday</v>
      </c>
      <c r="D1048" t="str">
        <f t="shared" si="83"/>
        <v>Weekend</v>
      </c>
      <c r="E1048" s="2">
        <v>3703</v>
      </c>
      <c r="F1048" s="2">
        <v>2.9400000569999998</v>
      </c>
      <c r="G1048" s="2">
        <v>2.9400000569999998</v>
      </c>
      <c r="H1048" s="2">
        <v>0</v>
      </c>
      <c r="I1048" s="2">
        <v>0</v>
      </c>
      <c r="J1048" s="2">
        <v>0</v>
      </c>
      <c r="K1048" s="2">
        <v>2.9400000569999998</v>
      </c>
      <c r="L1048" s="2">
        <v>0</v>
      </c>
      <c r="M1048" s="2">
        <v>0</v>
      </c>
      <c r="N1048" s="2">
        <v>0</v>
      </c>
      <c r="O1048" s="2">
        <v>135</v>
      </c>
      <c r="P1048" s="2">
        <v>734</v>
      </c>
      <c r="Q1048" s="2">
        <f t="shared" ref="Q1048:Q1108" si="87">SUM(M1048:O1048)</f>
        <v>135</v>
      </c>
      <c r="R1048" s="2">
        <f t="shared" si="85"/>
        <v>869</v>
      </c>
      <c r="S1048" t="str">
        <f t="shared" si="84"/>
        <v>Sedentary</v>
      </c>
      <c r="T1048" s="2">
        <v>2741</v>
      </c>
    </row>
    <row r="1049" spans="1:20" x14ac:dyDescent="0.25">
      <c r="A1049" s="2">
        <v>8378563200</v>
      </c>
      <c r="B1049" s="3">
        <v>42485</v>
      </c>
      <c r="C1049" t="str">
        <f t="shared" si="86"/>
        <v>Monday</v>
      </c>
      <c r="D1049" t="str">
        <f t="shared" si="83"/>
        <v>Weekday</v>
      </c>
      <c r="E1049" s="2">
        <v>12405</v>
      </c>
      <c r="F1049" s="2">
        <v>9.8400001530000001</v>
      </c>
      <c r="G1049" s="2">
        <v>9.8400001530000001</v>
      </c>
      <c r="H1049" s="2">
        <v>2.0921471120000001</v>
      </c>
      <c r="I1049" s="2">
        <v>5.0500001909999996</v>
      </c>
      <c r="J1049" s="2">
        <v>0.87000000499999997</v>
      </c>
      <c r="K1049" s="2">
        <v>3.920000076</v>
      </c>
      <c r="L1049" s="2">
        <v>0</v>
      </c>
      <c r="M1049" s="2">
        <v>117</v>
      </c>
      <c r="N1049" s="2">
        <v>16</v>
      </c>
      <c r="O1049" s="2">
        <v>141</v>
      </c>
      <c r="P1049" s="2">
        <v>692</v>
      </c>
      <c r="Q1049" s="2">
        <f t="shared" si="87"/>
        <v>274</v>
      </c>
      <c r="R1049" s="2">
        <f t="shared" si="85"/>
        <v>966</v>
      </c>
      <c r="S1049" t="str">
        <f t="shared" si="84"/>
        <v>Highly Active</v>
      </c>
      <c r="T1049" s="2">
        <v>4005</v>
      </c>
    </row>
    <row r="1050" spans="1:20" x14ac:dyDescent="0.25">
      <c r="A1050" s="2">
        <v>8378563200</v>
      </c>
      <c r="B1050" s="3">
        <v>42486</v>
      </c>
      <c r="C1050" t="str">
        <f t="shared" si="86"/>
        <v>Tuesday</v>
      </c>
      <c r="D1050" t="str">
        <f t="shared" si="83"/>
        <v>Weekday</v>
      </c>
      <c r="E1050" s="2">
        <v>16208</v>
      </c>
      <c r="F1050" s="2">
        <v>12.850000380000001</v>
      </c>
      <c r="G1050" s="2">
        <v>12.850000380000001</v>
      </c>
      <c r="H1050" s="2">
        <v>0</v>
      </c>
      <c r="I1050" s="2">
        <v>7.5100002290000001</v>
      </c>
      <c r="J1050" s="2">
        <v>0.920000017</v>
      </c>
      <c r="K1050" s="2">
        <v>4.420000076</v>
      </c>
      <c r="L1050" s="2">
        <v>0</v>
      </c>
      <c r="M1050" s="2">
        <v>90</v>
      </c>
      <c r="N1050" s="2">
        <v>18</v>
      </c>
      <c r="O1050" s="2">
        <v>161</v>
      </c>
      <c r="P1050" s="2">
        <v>593</v>
      </c>
      <c r="Q1050" s="2">
        <f t="shared" si="87"/>
        <v>269</v>
      </c>
      <c r="R1050" s="2">
        <f t="shared" si="85"/>
        <v>862</v>
      </c>
      <c r="S1050" t="str">
        <f t="shared" si="84"/>
        <v>Highly Active</v>
      </c>
      <c r="T1050" s="2">
        <v>3763</v>
      </c>
    </row>
    <row r="1051" spans="1:20" x14ac:dyDescent="0.25">
      <c r="A1051" s="2">
        <v>8378563200</v>
      </c>
      <c r="B1051" s="3">
        <v>42487</v>
      </c>
      <c r="C1051" t="str">
        <f t="shared" si="86"/>
        <v>Wednesday</v>
      </c>
      <c r="D1051" t="str">
        <f t="shared" si="83"/>
        <v>Weekday</v>
      </c>
      <c r="E1051" s="2">
        <v>7359</v>
      </c>
      <c r="F1051" s="2">
        <v>5.8400001530000001</v>
      </c>
      <c r="G1051" s="2">
        <v>5.8400001530000001</v>
      </c>
      <c r="H1051" s="2">
        <v>0</v>
      </c>
      <c r="I1051" s="2">
        <v>0.33000001299999998</v>
      </c>
      <c r="J1051" s="2">
        <v>0.18000000699999999</v>
      </c>
      <c r="K1051" s="2">
        <v>5.329999924</v>
      </c>
      <c r="L1051" s="2">
        <v>0</v>
      </c>
      <c r="M1051" s="2">
        <v>4</v>
      </c>
      <c r="N1051" s="2">
        <v>4</v>
      </c>
      <c r="O1051" s="2">
        <v>192</v>
      </c>
      <c r="P1051" s="2">
        <v>676</v>
      </c>
      <c r="Q1051" s="2">
        <f t="shared" si="87"/>
        <v>200</v>
      </c>
      <c r="R1051" s="2">
        <f t="shared" si="85"/>
        <v>876</v>
      </c>
      <c r="S1051" t="str">
        <f t="shared" si="84"/>
        <v>Lightly Active</v>
      </c>
      <c r="T1051" s="2">
        <v>3061</v>
      </c>
    </row>
    <row r="1052" spans="1:20" x14ac:dyDescent="0.25">
      <c r="A1052" s="2">
        <v>8378563200</v>
      </c>
      <c r="B1052" s="3">
        <v>42488</v>
      </c>
      <c r="C1052" t="str">
        <f t="shared" si="86"/>
        <v>Thursday</v>
      </c>
      <c r="D1052" t="str">
        <f t="shared" si="83"/>
        <v>Weekday</v>
      </c>
      <c r="E1052" s="2">
        <v>5417</v>
      </c>
      <c r="F1052" s="2">
        <v>4.3000001909999996</v>
      </c>
      <c r="G1052" s="2">
        <v>4.3000001909999996</v>
      </c>
      <c r="H1052" s="2">
        <v>0</v>
      </c>
      <c r="I1052" s="2">
        <v>0.89999997600000003</v>
      </c>
      <c r="J1052" s="2">
        <v>0.49000000999999999</v>
      </c>
      <c r="K1052" s="2">
        <v>2.9100000860000002</v>
      </c>
      <c r="L1052" s="2">
        <v>0</v>
      </c>
      <c r="M1052" s="2">
        <v>11</v>
      </c>
      <c r="N1052" s="2">
        <v>10</v>
      </c>
      <c r="O1052" s="2">
        <v>139</v>
      </c>
      <c r="P1052" s="2">
        <v>711</v>
      </c>
      <c r="Q1052" s="2">
        <f t="shared" si="87"/>
        <v>160</v>
      </c>
      <c r="R1052" s="2">
        <f t="shared" si="85"/>
        <v>871</v>
      </c>
      <c r="S1052" t="str">
        <f t="shared" si="84"/>
        <v>Lightly Active</v>
      </c>
      <c r="T1052" s="2">
        <v>2884</v>
      </c>
    </row>
    <row r="1053" spans="1:20" x14ac:dyDescent="0.25">
      <c r="A1053" s="2">
        <v>8378563200</v>
      </c>
      <c r="B1053" s="3">
        <v>42489</v>
      </c>
      <c r="C1053" t="str">
        <f t="shared" si="86"/>
        <v>Friday</v>
      </c>
      <c r="D1053" t="str">
        <f t="shared" si="83"/>
        <v>Weekday</v>
      </c>
      <c r="E1053" s="2">
        <v>6175</v>
      </c>
      <c r="F1053" s="2">
        <v>4.9000000950000002</v>
      </c>
      <c r="G1053" s="2">
        <v>4.9000000950000002</v>
      </c>
      <c r="H1053" s="2">
        <v>0</v>
      </c>
      <c r="I1053" s="2">
        <v>0.25</v>
      </c>
      <c r="J1053" s="2">
        <v>0.36000001399999998</v>
      </c>
      <c r="K1053" s="2">
        <v>4.2699999809999998</v>
      </c>
      <c r="L1053" s="2">
        <v>0</v>
      </c>
      <c r="M1053" s="2">
        <v>3</v>
      </c>
      <c r="N1053" s="2">
        <v>7</v>
      </c>
      <c r="O1053" s="2">
        <v>172</v>
      </c>
      <c r="P1053" s="2">
        <v>767</v>
      </c>
      <c r="Q1053" s="2">
        <f t="shared" si="87"/>
        <v>182</v>
      </c>
      <c r="R1053" s="2">
        <f t="shared" si="85"/>
        <v>949</v>
      </c>
      <c r="S1053" t="str">
        <f t="shared" si="84"/>
        <v>Lightly Active</v>
      </c>
      <c r="T1053" s="2">
        <v>2982</v>
      </c>
    </row>
    <row r="1054" spans="1:20" x14ac:dyDescent="0.25">
      <c r="A1054" s="2">
        <v>8378563200</v>
      </c>
      <c r="B1054" s="3">
        <v>42490</v>
      </c>
      <c r="C1054" t="str">
        <f t="shared" si="86"/>
        <v>Saturday</v>
      </c>
      <c r="D1054" t="str">
        <f t="shared" si="83"/>
        <v>Weekend</v>
      </c>
      <c r="E1054" s="2">
        <v>2946</v>
      </c>
      <c r="F1054" s="2">
        <v>2.3399999139999998</v>
      </c>
      <c r="G1054" s="2">
        <v>2.3399999139999998</v>
      </c>
      <c r="H1054" s="2">
        <v>0</v>
      </c>
      <c r="I1054" s="2">
        <v>0</v>
      </c>
      <c r="J1054" s="2">
        <v>0</v>
      </c>
      <c r="K1054" s="2">
        <v>2.3399999139999998</v>
      </c>
      <c r="L1054" s="2">
        <v>0</v>
      </c>
      <c r="M1054" s="2">
        <v>0</v>
      </c>
      <c r="N1054" s="2">
        <v>0</v>
      </c>
      <c r="O1054" s="2">
        <v>121</v>
      </c>
      <c r="P1054" s="2">
        <v>780</v>
      </c>
      <c r="Q1054" s="2">
        <f t="shared" si="87"/>
        <v>121</v>
      </c>
      <c r="R1054" s="2">
        <f t="shared" si="85"/>
        <v>901</v>
      </c>
      <c r="S1054" t="str">
        <f t="shared" si="84"/>
        <v>Sedentary</v>
      </c>
      <c r="T1054" s="2">
        <v>2660</v>
      </c>
    </row>
    <row r="1055" spans="1:20" x14ac:dyDescent="0.25">
      <c r="A1055" s="2">
        <v>8378563200</v>
      </c>
      <c r="B1055" s="3">
        <v>42491</v>
      </c>
      <c r="C1055" t="str">
        <f t="shared" si="86"/>
        <v>Sunday</v>
      </c>
      <c r="D1055" t="str">
        <f t="shared" si="83"/>
        <v>Weekend</v>
      </c>
      <c r="E1055" s="2">
        <v>11419</v>
      </c>
      <c r="F1055" s="2">
        <v>9.0600004199999997</v>
      </c>
      <c r="G1055" s="2">
        <v>9.0600004199999997</v>
      </c>
      <c r="H1055" s="2">
        <v>0</v>
      </c>
      <c r="I1055" s="2">
        <v>6.0300002099999999</v>
      </c>
      <c r="J1055" s="2">
        <v>0.560000002</v>
      </c>
      <c r="K1055" s="2">
        <v>2.4700000289999999</v>
      </c>
      <c r="L1055" s="2">
        <v>0</v>
      </c>
      <c r="M1055" s="2">
        <v>71</v>
      </c>
      <c r="N1055" s="2">
        <v>10</v>
      </c>
      <c r="O1055" s="2">
        <v>127</v>
      </c>
      <c r="P1055" s="2">
        <v>669</v>
      </c>
      <c r="Q1055" s="2">
        <f t="shared" si="87"/>
        <v>208</v>
      </c>
      <c r="R1055" s="2">
        <f t="shared" si="85"/>
        <v>877</v>
      </c>
      <c r="S1055" t="str">
        <f t="shared" si="84"/>
        <v>Highly Active</v>
      </c>
      <c r="T1055" s="2">
        <v>3369</v>
      </c>
    </row>
    <row r="1056" spans="1:20" x14ac:dyDescent="0.25">
      <c r="A1056" s="2">
        <v>8378563200</v>
      </c>
      <c r="B1056" s="3">
        <v>42492</v>
      </c>
      <c r="C1056" t="str">
        <f t="shared" si="86"/>
        <v>Monday</v>
      </c>
      <c r="D1056" t="str">
        <f t="shared" si="83"/>
        <v>Weekday</v>
      </c>
      <c r="E1056" s="2">
        <v>6064</v>
      </c>
      <c r="F1056" s="2">
        <v>4.8099999430000002</v>
      </c>
      <c r="G1056" s="2">
        <v>4.8099999430000002</v>
      </c>
      <c r="H1056" s="2">
        <v>2.0921471120000001</v>
      </c>
      <c r="I1056" s="2">
        <v>0.62999999500000003</v>
      </c>
      <c r="J1056" s="2">
        <v>0.17000000200000001</v>
      </c>
      <c r="K1056" s="2">
        <v>4.0100002290000001</v>
      </c>
      <c r="L1056" s="2">
        <v>0</v>
      </c>
      <c r="M1056" s="2">
        <v>63</v>
      </c>
      <c r="N1056" s="2">
        <v>4</v>
      </c>
      <c r="O1056" s="2">
        <v>142</v>
      </c>
      <c r="P1056" s="2">
        <v>802</v>
      </c>
      <c r="Q1056" s="2">
        <f t="shared" si="87"/>
        <v>209</v>
      </c>
      <c r="R1056" s="2">
        <f t="shared" si="85"/>
        <v>1011</v>
      </c>
      <c r="S1056" t="str">
        <f t="shared" si="84"/>
        <v>Lightly Active</v>
      </c>
      <c r="T1056" s="2">
        <v>3491</v>
      </c>
    </row>
    <row r="1057" spans="1:20" x14ac:dyDescent="0.25">
      <c r="A1057" s="2">
        <v>8378563200</v>
      </c>
      <c r="B1057" s="3">
        <v>42493</v>
      </c>
      <c r="C1057" t="str">
        <f t="shared" si="86"/>
        <v>Tuesday</v>
      </c>
      <c r="D1057" t="str">
        <f t="shared" si="83"/>
        <v>Weekday</v>
      </c>
      <c r="E1057" s="2">
        <v>8712</v>
      </c>
      <c r="F1057" s="2">
        <v>6.9099998469999999</v>
      </c>
      <c r="G1057" s="2">
        <v>6.9099998469999999</v>
      </c>
      <c r="H1057" s="2">
        <v>2.2530810830000001</v>
      </c>
      <c r="I1057" s="2">
        <v>1.3400000329999999</v>
      </c>
      <c r="J1057" s="2">
        <v>1.059999943</v>
      </c>
      <c r="K1057" s="2">
        <v>4.5</v>
      </c>
      <c r="L1057" s="2">
        <v>0</v>
      </c>
      <c r="M1057" s="2">
        <v>71</v>
      </c>
      <c r="N1057" s="2">
        <v>20</v>
      </c>
      <c r="O1057" s="2">
        <v>195</v>
      </c>
      <c r="P1057" s="2">
        <v>822</v>
      </c>
      <c r="Q1057" s="2">
        <f t="shared" si="87"/>
        <v>286</v>
      </c>
      <c r="R1057" s="2">
        <f t="shared" si="85"/>
        <v>1108</v>
      </c>
      <c r="S1057" t="str">
        <f t="shared" si="84"/>
        <v>Fairly Active</v>
      </c>
      <c r="T1057" s="2">
        <v>3784</v>
      </c>
    </row>
    <row r="1058" spans="1:20" x14ac:dyDescent="0.25">
      <c r="A1058" s="2">
        <v>8378563200</v>
      </c>
      <c r="B1058" s="3">
        <v>42494</v>
      </c>
      <c r="C1058" t="str">
        <f t="shared" si="86"/>
        <v>Wednesday</v>
      </c>
      <c r="D1058" t="str">
        <f t="shared" si="83"/>
        <v>Weekday</v>
      </c>
      <c r="E1058" s="2">
        <v>7875</v>
      </c>
      <c r="F1058" s="2">
        <v>6.2399997709999999</v>
      </c>
      <c r="G1058" s="2">
        <v>6.2399997709999999</v>
      </c>
      <c r="H1058" s="2">
        <v>0</v>
      </c>
      <c r="I1058" s="2">
        <v>1.559999943</v>
      </c>
      <c r="J1058" s="2">
        <v>0.49000000999999999</v>
      </c>
      <c r="K1058" s="2">
        <v>4.1999998090000004</v>
      </c>
      <c r="L1058" s="2">
        <v>0</v>
      </c>
      <c r="M1058" s="2">
        <v>19</v>
      </c>
      <c r="N1058" s="2">
        <v>10</v>
      </c>
      <c r="O1058" s="2">
        <v>167</v>
      </c>
      <c r="P1058" s="2">
        <v>680</v>
      </c>
      <c r="Q1058" s="2">
        <f t="shared" si="87"/>
        <v>196</v>
      </c>
      <c r="R1058" s="2">
        <f t="shared" si="85"/>
        <v>876</v>
      </c>
      <c r="S1058" t="str">
        <f t="shared" si="84"/>
        <v>Fairly Active</v>
      </c>
      <c r="T1058" s="2">
        <v>3110</v>
      </c>
    </row>
    <row r="1059" spans="1:20" x14ac:dyDescent="0.25">
      <c r="A1059" s="2">
        <v>8378563200</v>
      </c>
      <c r="B1059" s="3">
        <v>42495</v>
      </c>
      <c r="C1059" t="str">
        <f t="shared" si="86"/>
        <v>Thursday</v>
      </c>
      <c r="D1059" t="str">
        <f t="shared" si="83"/>
        <v>Weekday</v>
      </c>
      <c r="E1059" s="2">
        <v>8567</v>
      </c>
      <c r="F1059" s="2">
        <v>6.7899999619999996</v>
      </c>
      <c r="G1059" s="2">
        <v>6.7899999619999996</v>
      </c>
      <c r="H1059" s="2">
        <v>2.2530810830000001</v>
      </c>
      <c r="I1059" s="2">
        <v>0.88999998599999997</v>
      </c>
      <c r="J1059" s="2">
        <v>0.15999999600000001</v>
      </c>
      <c r="K1059" s="2">
        <v>5.7399997709999999</v>
      </c>
      <c r="L1059" s="2">
        <v>0</v>
      </c>
      <c r="M1059" s="2">
        <v>66</v>
      </c>
      <c r="N1059" s="2">
        <v>3</v>
      </c>
      <c r="O1059" s="2">
        <v>214</v>
      </c>
      <c r="P1059" s="2">
        <v>764</v>
      </c>
      <c r="Q1059" s="2">
        <f t="shared" si="87"/>
        <v>283</v>
      </c>
      <c r="R1059" s="2">
        <f t="shared" si="85"/>
        <v>1047</v>
      </c>
      <c r="S1059" t="str">
        <f t="shared" si="84"/>
        <v>Fairly Active</v>
      </c>
      <c r="T1059" s="2">
        <v>3783</v>
      </c>
    </row>
    <row r="1060" spans="1:20" x14ac:dyDescent="0.25">
      <c r="A1060" s="2">
        <v>8378563200</v>
      </c>
      <c r="B1060" s="3">
        <v>42496</v>
      </c>
      <c r="C1060" t="str">
        <f t="shared" si="86"/>
        <v>Friday</v>
      </c>
      <c r="D1060" t="str">
        <f t="shared" si="83"/>
        <v>Weekday</v>
      </c>
      <c r="E1060" s="2">
        <v>7045</v>
      </c>
      <c r="F1060" s="2">
        <v>5.5900001530000001</v>
      </c>
      <c r="G1060" s="2">
        <v>5.5900001530000001</v>
      </c>
      <c r="H1060" s="2">
        <v>2.0921471120000001</v>
      </c>
      <c r="I1060" s="2">
        <v>1.5499999520000001</v>
      </c>
      <c r="J1060" s="2">
        <v>0.25</v>
      </c>
      <c r="K1060" s="2">
        <v>3.7799999710000001</v>
      </c>
      <c r="L1060" s="2">
        <v>0</v>
      </c>
      <c r="M1060" s="2">
        <v>74</v>
      </c>
      <c r="N1060" s="2">
        <v>5</v>
      </c>
      <c r="O1060" s="2">
        <v>166</v>
      </c>
      <c r="P1060" s="2">
        <v>831</v>
      </c>
      <c r="Q1060" s="2">
        <f t="shared" si="87"/>
        <v>245</v>
      </c>
      <c r="R1060" s="2">
        <f t="shared" si="85"/>
        <v>1076</v>
      </c>
      <c r="S1060" t="str">
        <f t="shared" si="84"/>
        <v>Lightly Active</v>
      </c>
      <c r="T1060" s="2">
        <v>3644</v>
      </c>
    </row>
    <row r="1061" spans="1:20" x14ac:dyDescent="0.25">
      <c r="A1061" s="2">
        <v>8378563200</v>
      </c>
      <c r="B1061" s="3">
        <v>42497</v>
      </c>
      <c r="C1061" t="str">
        <f t="shared" si="86"/>
        <v>Saturday</v>
      </c>
      <c r="D1061" t="str">
        <f t="shared" si="83"/>
        <v>Weekend</v>
      </c>
      <c r="E1061" s="2">
        <v>4468</v>
      </c>
      <c r="F1061" s="2">
        <v>3.539999962</v>
      </c>
      <c r="G1061" s="2">
        <v>3.539999962</v>
      </c>
      <c r="H1061" s="2">
        <v>0</v>
      </c>
      <c r="I1061" s="2">
        <v>0</v>
      </c>
      <c r="J1061" s="2">
        <v>0</v>
      </c>
      <c r="K1061" s="2">
        <v>3.539999962</v>
      </c>
      <c r="L1061" s="2">
        <v>0</v>
      </c>
      <c r="M1061" s="2">
        <v>0</v>
      </c>
      <c r="N1061" s="2">
        <v>0</v>
      </c>
      <c r="O1061" s="2">
        <v>158</v>
      </c>
      <c r="P1061" s="2">
        <v>851</v>
      </c>
      <c r="Q1061" s="2">
        <f t="shared" si="87"/>
        <v>158</v>
      </c>
      <c r="R1061" s="2">
        <f t="shared" si="85"/>
        <v>1009</v>
      </c>
      <c r="S1061" t="str">
        <f t="shared" si="84"/>
        <v>Sedentary</v>
      </c>
      <c r="T1061" s="2">
        <v>2799</v>
      </c>
    </row>
    <row r="1062" spans="1:20" x14ac:dyDescent="0.25">
      <c r="A1062" s="2">
        <v>8378563200</v>
      </c>
      <c r="B1062" s="3">
        <v>42498</v>
      </c>
      <c r="C1062" t="str">
        <f t="shared" si="86"/>
        <v>Sunday</v>
      </c>
      <c r="D1062" t="str">
        <f t="shared" si="83"/>
        <v>Weekend</v>
      </c>
      <c r="E1062" s="2">
        <v>2943</v>
      </c>
      <c r="F1062" s="2">
        <v>2.329999924</v>
      </c>
      <c r="G1062" s="2">
        <v>2.329999924</v>
      </c>
      <c r="H1062" s="2">
        <v>0</v>
      </c>
      <c r="I1062" s="2">
        <v>0</v>
      </c>
      <c r="J1062" s="2">
        <v>0</v>
      </c>
      <c r="K1062" s="2">
        <v>2.329999924</v>
      </c>
      <c r="L1062" s="2">
        <v>0</v>
      </c>
      <c r="M1062" s="2">
        <v>0</v>
      </c>
      <c r="N1062" s="2">
        <v>0</v>
      </c>
      <c r="O1062" s="2">
        <v>139</v>
      </c>
      <c r="P1062" s="2">
        <v>621</v>
      </c>
      <c r="Q1062" s="2">
        <f t="shared" si="87"/>
        <v>139</v>
      </c>
      <c r="R1062" s="2">
        <f t="shared" si="85"/>
        <v>760</v>
      </c>
      <c r="S1062" t="str">
        <f t="shared" si="84"/>
        <v>Sedentary</v>
      </c>
      <c r="T1062" s="2">
        <v>2685</v>
      </c>
    </row>
    <row r="1063" spans="1:20" x14ac:dyDescent="0.25">
      <c r="A1063" s="2">
        <v>8378563200</v>
      </c>
      <c r="B1063" s="3">
        <v>42499</v>
      </c>
      <c r="C1063" t="str">
        <f t="shared" si="86"/>
        <v>Monday</v>
      </c>
      <c r="D1063" t="str">
        <f t="shared" si="83"/>
        <v>Weekday</v>
      </c>
      <c r="E1063" s="2">
        <v>8382</v>
      </c>
      <c r="F1063" s="2">
        <v>6.6500000950000002</v>
      </c>
      <c r="G1063" s="2">
        <v>6.6500000950000002</v>
      </c>
      <c r="H1063" s="2">
        <v>2.0921471120000001</v>
      </c>
      <c r="I1063" s="2">
        <v>1.269999981</v>
      </c>
      <c r="J1063" s="2">
        <v>0.66000002599999996</v>
      </c>
      <c r="K1063" s="2">
        <v>4.7199997900000001</v>
      </c>
      <c r="L1063" s="2">
        <v>0</v>
      </c>
      <c r="M1063" s="2">
        <v>71</v>
      </c>
      <c r="N1063" s="2">
        <v>13</v>
      </c>
      <c r="O1063" s="2">
        <v>171</v>
      </c>
      <c r="P1063" s="2">
        <v>772</v>
      </c>
      <c r="Q1063" s="2">
        <f t="shared" si="87"/>
        <v>255</v>
      </c>
      <c r="R1063" s="2">
        <f t="shared" si="85"/>
        <v>1027</v>
      </c>
      <c r="S1063" t="str">
        <f t="shared" si="84"/>
        <v>Fairly Active</v>
      </c>
      <c r="T1063" s="2">
        <v>3721</v>
      </c>
    </row>
    <row r="1064" spans="1:20" x14ac:dyDescent="0.25">
      <c r="A1064" s="2">
        <v>8378563200</v>
      </c>
      <c r="B1064" s="3">
        <v>42500</v>
      </c>
      <c r="C1064" t="str">
        <f t="shared" si="86"/>
        <v>Tuesday</v>
      </c>
      <c r="D1064" t="str">
        <f t="shared" si="83"/>
        <v>Weekday</v>
      </c>
      <c r="E1064" s="2">
        <v>6582</v>
      </c>
      <c r="F1064" s="2">
        <v>5.2199997900000001</v>
      </c>
      <c r="G1064" s="2">
        <v>5.2199997900000001</v>
      </c>
      <c r="H1064" s="2">
        <v>2.2530810830000001</v>
      </c>
      <c r="I1064" s="2">
        <v>0.66000002599999996</v>
      </c>
      <c r="J1064" s="2">
        <v>0.63999998599999997</v>
      </c>
      <c r="K1064" s="2">
        <v>3.920000076</v>
      </c>
      <c r="L1064" s="2">
        <v>0</v>
      </c>
      <c r="M1064" s="2">
        <v>63</v>
      </c>
      <c r="N1064" s="2">
        <v>13</v>
      </c>
      <c r="O1064" s="2">
        <v>152</v>
      </c>
      <c r="P1064" s="2">
        <v>840</v>
      </c>
      <c r="Q1064" s="2">
        <f t="shared" si="87"/>
        <v>228</v>
      </c>
      <c r="R1064" s="2">
        <f t="shared" si="85"/>
        <v>1068</v>
      </c>
      <c r="S1064" t="str">
        <f t="shared" si="84"/>
        <v>Lightly Active</v>
      </c>
      <c r="T1064" s="2">
        <v>3586</v>
      </c>
    </row>
    <row r="1065" spans="1:20" x14ac:dyDescent="0.25">
      <c r="A1065" s="2">
        <v>8378563200</v>
      </c>
      <c r="B1065" s="3">
        <v>42501</v>
      </c>
      <c r="C1065" t="str">
        <f t="shared" si="86"/>
        <v>Wednesday</v>
      </c>
      <c r="D1065" t="str">
        <f t="shared" si="83"/>
        <v>Weekday</v>
      </c>
      <c r="E1065" s="2">
        <v>9143</v>
      </c>
      <c r="F1065" s="2">
        <v>7.25</v>
      </c>
      <c r="G1065" s="2">
        <v>7.25</v>
      </c>
      <c r="H1065" s="2">
        <v>2.0921471120000001</v>
      </c>
      <c r="I1065" s="2">
        <v>1.3899999860000001</v>
      </c>
      <c r="J1065" s="2">
        <v>0.58999997400000004</v>
      </c>
      <c r="K1065" s="2">
        <v>5.2699999809999998</v>
      </c>
      <c r="L1065" s="2">
        <v>0</v>
      </c>
      <c r="M1065" s="2">
        <v>72</v>
      </c>
      <c r="N1065" s="2">
        <v>10</v>
      </c>
      <c r="O1065" s="2">
        <v>184</v>
      </c>
      <c r="P1065" s="2">
        <v>763</v>
      </c>
      <c r="Q1065" s="2">
        <f t="shared" si="87"/>
        <v>266</v>
      </c>
      <c r="R1065" s="2">
        <f t="shared" si="85"/>
        <v>1029</v>
      </c>
      <c r="S1065" t="str">
        <f t="shared" si="84"/>
        <v>Fairly Active</v>
      </c>
      <c r="T1065" s="2">
        <v>3788</v>
      </c>
    </row>
    <row r="1066" spans="1:20" x14ac:dyDescent="0.25">
      <c r="A1066" s="2">
        <v>8583815059</v>
      </c>
      <c r="B1066" s="3">
        <v>42461</v>
      </c>
      <c r="C1066" t="str">
        <f t="shared" si="86"/>
        <v>Friday</v>
      </c>
      <c r="D1066" t="str">
        <f t="shared" si="83"/>
        <v>Weekday</v>
      </c>
      <c r="E1066" s="2">
        <v>2174</v>
      </c>
      <c r="F1066" s="2">
        <v>1.7000000479999999</v>
      </c>
      <c r="G1066" s="2">
        <v>1.7000000479999999</v>
      </c>
      <c r="H1066" s="2">
        <v>0</v>
      </c>
      <c r="I1066" s="2">
        <v>0</v>
      </c>
      <c r="J1066" s="2">
        <v>0</v>
      </c>
      <c r="K1066" s="2">
        <v>1.7000000479999999</v>
      </c>
      <c r="L1066" s="2">
        <v>0</v>
      </c>
      <c r="M1066" s="2">
        <v>0</v>
      </c>
      <c r="N1066" s="2">
        <v>0</v>
      </c>
      <c r="O1066" s="2">
        <v>112</v>
      </c>
      <c r="P1066" s="2">
        <v>1328</v>
      </c>
      <c r="Q1066" s="2">
        <f t="shared" si="87"/>
        <v>112</v>
      </c>
      <c r="R1066" s="2">
        <f t="shared" si="85"/>
        <v>1440</v>
      </c>
      <c r="S1066" t="str">
        <f t="shared" si="84"/>
        <v>Sedentary</v>
      </c>
      <c r="T1066" s="2">
        <v>2360</v>
      </c>
    </row>
    <row r="1067" spans="1:20" x14ac:dyDescent="0.25">
      <c r="A1067" s="2">
        <v>8583815059</v>
      </c>
      <c r="B1067" s="3">
        <v>42462</v>
      </c>
      <c r="C1067" t="str">
        <f t="shared" si="86"/>
        <v>Saturday</v>
      </c>
      <c r="D1067" t="str">
        <f t="shared" si="83"/>
        <v>Weekend</v>
      </c>
      <c r="E1067" s="2">
        <v>3494</v>
      </c>
      <c r="F1067" s="2">
        <v>2.7300000190000002</v>
      </c>
      <c r="G1067" s="2">
        <v>2.7300000190000002</v>
      </c>
      <c r="H1067" s="2">
        <v>0</v>
      </c>
      <c r="I1067" s="2">
        <v>0</v>
      </c>
      <c r="J1067" s="2">
        <v>0</v>
      </c>
      <c r="K1067" s="2">
        <v>2.6900000569999998</v>
      </c>
      <c r="L1067" s="2">
        <v>0</v>
      </c>
      <c r="M1067" s="2">
        <v>0</v>
      </c>
      <c r="N1067" s="2">
        <v>0</v>
      </c>
      <c r="O1067" s="2">
        <v>166</v>
      </c>
      <c r="P1067" s="2">
        <v>1274</v>
      </c>
      <c r="Q1067" s="2">
        <f t="shared" si="87"/>
        <v>166</v>
      </c>
      <c r="R1067" s="2">
        <f t="shared" si="85"/>
        <v>1440</v>
      </c>
      <c r="S1067" t="str">
        <f t="shared" si="84"/>
        <v>Sedentary</v>
      </c>
      <c r="T1067" s="2">
        <v>2517</v>
      </c>
    </row>
    <row r="1068" spans="1:20" x14ac:dyDescent="0.25">
      <c r="A1068" s="2">
        <v>8583815059</v>
      </c>
      <c r="B1068" s="3">
        <v>42463</v>
      </c>
      <c r="C1068" t="str">
        <f t="shared" si="86"/>
        <v>Sunday</v>
      </c>
      <c r="D1068" t="str">
        <f t="shared" si="83"/>
        <v>Weekend</v>
      </c>
      <c r="E1068" s="2">
        <v>2380</v>
      </c>
      <c r="F1068" s="2">
        <v>1.8600000139999999</v>
      </c>
      <c r="G1068" s="2">
        <v>1.8600000139999999</v>
      </c>
      <c r="H1068" s="2">
        <v>0</v>
      </c>
      <c r="I1068" s="2">
        <v>0</v>
      </c>
      <c r="J1068" s="2">
        <v>0</v>
      </c>
      <c r="K1068" s="2">
        <v>1.8600000139999999</v>
      </c>
      <c r="L1068" s="2">
        <v>0</v>
      </c>
      <c r="M1068" s="2">
        <v>0</v>
      </c>
      <c r="N1068" s="2">
        <v>0</v>
      </c>
      <c r="O1068" s="2">
        <v>131</v>
      </c>
      <c r="P1068" s="2">
        <v>1309</v>
      </c>
      <c r="Q1068" s="2">
        <f t="shared" si="87"/>
        <v>131</v>
      </c>
      <c r="R1068" s="2">
        <f t="shared" si="85"/>
        <v>1440</v>
      </c>
      <c r="S1068" t="str">
        <f t="shared" si="84"/>
        <v>Sedentary</v>
      </c>
      <c r="T1068" s="2">
        <v>2400</v>
      </c>
    </row>
    <row r="1069" spans="1:20" x14ac:dyDescent="0.25">
      <c r="A1069" s="2">
        <v>8583815059</v>
      </c>
      <c r="B1069" s="3">
        <v>42464</v>
      </c>
      <c r="C1069" t="str">
        <f t="shared" si="86"/>
        <v>Monday</v>
      </c>
      <c r="D1069" t="str">
        <f t="shared" si="83"/>
        <v>Weekday</v>
      </c>
      <c r="E1069" s="2">
        <v>3159</v>
      </c>
      <c r="F1069" s="2">
        <v>2.460000038</v>
      </c>
      <c r="G1069" s="2">
        <v>2.460000038</v>
      </c>
      <c r="H1069" s="2">
        <v>0</v>
      </c>
      <c r="I1069" s="2">
        <v>0</v>
      </c>
      <c r="J1069" s="2">
        <v>0</v>
      </c>
      <c r="K1069" s="2">
        <v>2.460000038</v>
      </c>
      <c r="L1069" s="2">
        <v>0</v>
      </c>
      <c r="M1069" s="2">
        <v>0</v>
      </c>
      <c r="N1069" s="2">
        <v>0</v>
      </c>
      <c r="O1069" s="2">
        <v>147</v>
      </c>
      <c r="P1069" s="2">
        <v>1293</v>
      </c>
      <c r="Q1069" s="2">
        <f t="shared" si="87"/>
        <v>147</v>
      </c>
      <c r="R1069" s="2">
        <f t="shared" si="85"/>
        <v>1440</v>
      </c>
      <c r="S1069" t="str">
        <f t="shared" si="84"/>
        <v>Sedentary</v>
      </c>
      <c r="T1069" s="2">
        <v>2462</v>
      </c>
    </row>
    <row r="1070" spans="1:20" x14ac:dyDescent="0.25">
      <c r="A1070" s="2">
        <v>8583815059</v>
      </c>
      <c r="B1070" s="3">
        <v>42465</v>
      </c>
      <c r="C1070" t="str">
        <f t="shared" si="86"/>
        <v>Tuesday</v>
      </c>
      <c r="D1070" t="str">
        <f t="shared" si="83"/>
        <v>Weekday</v>
      </c>
      <c r="E1070" s="2">
        <v>6835</v>
      </c>
      <c r="F1070" s="2">
        <v>5.329999924</v>
      </c>
      <c r="G1070" s="2">
        <v>5.329999924</v>
      </c>
      <c r="H1070" s="2">
        <v>0</v>
      </c>
      <c r="I1070" s="2">
        <v>0.37000000500000002</v>
      </c>
      <c r="J1070" s="2">
        <v>0.730000019</v>
      </c>
      <c r="K1070" s="2">
        <v>4.2399997709999999</v>
      </c>
      <c r="L1070" s="2">
        <v>0</v>
      </c>
      <c r="M1070" s="2">
        <v>5</v>
      </c>
      <c r="N1070" s="2">
        <v>15</v>
      </c>
      <c r="O1070" s="2">
        <v>212</v>
      </c>
      <c r="P1070" s="2">
        <v>1208</v>
      </c>
      <c r="Q1070" s="2">
        <f t="shared" si="87"/>
        <v>232</v>
      </c>
      <c r="R1070" s="2">
        <f t="shared" si="85"/>
        <v>1440</v>
      </c>
      <c r="S1070" t="str">
        <f t="shared" si="84"/>
        <v>Lightly Active</v>
      </c>
      <c r="T1070" s="2">
        <v>2786</v>
      </c>
    </row>
    <row r="1071" spans="1:20" x14ac:dyDescent="0.25">
      <c r="A1071" s="2">
        <v>8583815059</v>
      </c>
      <c r="B1071" s="3">
        <v>42466</v>
      </c>
      <c r="C1071" t="str">
        <f t="shared" si="86"/>
        <v>Wednesday</v>
      </c>
      <c r="D1071" t="str">
        <f t="shared" si="83"/>
        <v>Weekday</v>
      </c>
      <c r="E1071" s="2">
        <v>2098</v>
      </c>
      <c r="F1071" s="2">
        <v>1.6399999860000001</v>
      </c>
      <c r="G1071" s="2">
        <v>1.6399999860000001</v>
      </c>
      <c r="H1071" s="2">
        <v>0</v>
      </c>
      <c r="I1071" s="2">
        <v>0</v>
      </c>
      <c r="J1071" s="2">
        <v>0</v>
      </c>
      <c r="K1071" s="2">
        <v>1.6299999949999999</v>
      </c>
      <c r="L1071" s="2">
        <v>0</v>
      </c>
      <c r="M1071" s="2">
        <v>0</v>
      </c>
      <c r="N1071" s="2">
        <v>0</v>
      </c>
      <c r="O1071" s="2">
        <v>112</v>
      </c>
      <c r="P1071" s="2">
        <v>1328</v>
      </c>
      <c r="Q1071" s="2">
        <f t="shared" si="87"/>
        <v>112</v>
      </c>
      <c r="R1071" s="2">
        <f t="shared" si="85"/>
        <v>1440</v>
      </c>
      <c r="S1071" t="str">
        <f t="shared" si="84"/>
        <v>Sedentary</v>
      </c>
      <c r="T1071" s="2">
        <v>2354</v>
      </c>
    </row>
    <row r="1072" spans="1:20" x14ac:dyDescent="0.25">
      <c r="A1072" s="2">
        <v>8583815059</v>
      </c>
      <c r="B1072" s="3">
        <v>42467</v>
      </c>
      <c r="C1072" t="str">
        <f t="shared" si="86"/>
        <v>Thursday</v>
      </c>
      <c r="D1072" t="str">
        <f t="shared" si="83"/>
        <v>Weekday</v>
      </c>
      <c r="E1072" s="2">
        <v>2816</v>
      </c>
      <c r="F1072" s="2">
        <v>2.2000000480000002</v>
      </c>
      <c r="G1072" s="2">
        <v>2.2000000480000002</v>
      </c>
      <c r="H1072" s="2">
        <v>0</v>
      </c>
      <c r="I1072" s="2">
        <v>0</v>
      </c>
      <c r="J1072" s="2">
        <v>0</v>
      </c>
      <c r="K1072" s="2">
        <v>2.2000000480000002</v>
      </c>
      <c r="L1072" s="2">
        <v>0</v>
      </c>
      <c r="M1072" s="2">
        <v>0</v>
      </c>
      <c r="N1072" s="2">
        <v>0</v>
      </c>
      <c r="O1072" s="2">
        <v>138</v>
      </c>
      <c r="P1072" s="2">
        <v>1302</v>
      </c>
      <c r="Q1072" s="2">
        <f t="shared" si="87"/>
        <v>138</v>
      </c>
      <c r="R1072" s="2">
        <f t="shared" si="85"/>
        <v>1440</v>
      </c>
      <c r="S1072" t="str">
        <f t="shared" si="84"/>
        <v>Sedentary</v>
      </c>
      <c r="T1072" s="2">
        <v>2437</v>
      </c>
    </row>
    <row r="1073" spans="1:20" x14ac:dyDescent="0.25">
      <c r="A1073" s="2">
        <v>8583815059</v>
      </c>
      <c r="B1073" s="3">
        <v>42468</v>
      </c>
      <c r="C1073" t="str">
        <f t="shared" si="86"/>
        <v>Friday</v>
      </c>
      <c r="D1073" t="str">
        <f t="shared" si="83"/>
        <v>Weekday</v>
      </c>
      <c r="E1073" s="2">
        <v>1408</v>
      </c>
      <c r="F1073" s="2">
        <v>1.1000000240000001</v>
      </c>
      <c r="G1073" s="2">
        <v>1.1000000240000001</v>
      </c>
      <c r="H1073" s="2">
        <v>0</v>
      </c>
      <c r="I1073" s="2">
        <v>0</v>
      </c>
      <c r="J1073" s="2">
        <v>0</v>
      </c>
      <c r="K1073" s="2">
        <v>1.1000000240000001</v>
      </c>
      <c r="L1073" s="2">
        <v>0</v>
      </c>
      <c r="M1073" s="2">
        <v>0</v>
      </c>
      <c r="N1073" s="2">
        <v>0</v>
      </c>
      <c r="O1073" s="2">
        <v>79</v>
      </c>
      <c r="P1073" s="2">
        <v>1052</v>
      </c>
      <c r="Q1073" s="2">
        <f t="shared" si="87"/>
        <v>79</v>
      </c>
      <c r="R1073" s="2">
        <f t="shared" si="85"/>
        <v>1131</v>
      </c>
      <c r="S1073" t="str">
        <f t="shared" si="84"/>
        <v>Sedentary</v>
      </c>
      <c r="T1073" s="2">
        <v>1814</v>
      </c>
    </row>
    <row r="1074" spans="1:20" x14ac:dyDescent="0.25">
      <c r="A1074" s="2">
        <v>8583815059</v>
      </c>
      <c r="B1074" s="3">
        <v>42472</v>
      </c>
      <c r="C1074" t="str">
        <f t="shared" si="86"/>
        <v>Tuesday</v>
      </c>
      <c r="D1074" t="str">
        <f t="shared" si="83"/>
        <v>Weekday</v>
      </c>
      <c r="E1074" s="2">
        <v>5014</v>
      </c>
      <c r="F1074" s="2">
        <v>3.9100000860000002</v>
      </c>
      <c r="G1074" s="2">
        <v>3.9100000860000002</v>
      </c>
      <c r="H1074" s="2">
        <v>0</v>
      </c>
      <c r="I1074" s="2">
        <v>0</v>
      </c>
      <c r="J1074" s="2">
        <v>0.33000001299999998</v>
      </c>
      <c r="K1074" s="2">
        <v>3.579999924</v>
      </c>
      <c r="L1074" s="2">
        <v>0</v>
      </c>
      <c r="M1074" s="2">
        <v>0</v>
      </c>
      <c r="N1074" s="2">
        <v>7</v>
      </c>
      <c r="O1074" s="2">
        <v>196</v>
      </c>
      <c r="P1074" s="2">
        <v>1237</v>
      </c>
      <c r="Q1074" s="2">
        <f t="shared" si="87"/>
        <v>203</v>
      </c>
      <c r="R1074" s="2">
        <f t="shared" si="85"/>
        <v>1440</v>
      </c>
      <c r="S1074" t="str">
        <f t="shared" si="84"/>
        <v>Lightly Active</v>
      </c>
      <c r="T1074" s="2">
        <v>2650</v>
      </c>
    </row>
    <row r="1075" spans="1:20" x14ac:dyDescent="0.25">
      <c r="A1075" s="2">
        <v>8583815059</v>
      </c>
      <c r="B1075" s="3">
        <v>42473</v>
      </c>
      <c r="C1075" t="str">
        <f t="shared" si="86"/>
        <v>Wednesday</v>
      </c>
      <c r="D1075" t="str">
        <f t="shared" si="83"/>
        <v>Weekday</v>
      </c>
      <c r="E1075" s="2">
        <v>5571</v>
      </c>
      <c r="F1075" s="2">
        <v>4.3499999049999998</v>
      </c>
      <c r="G1075" s="2">
        <v>4.3499999049999998</v>
      </c>
      <c r="H1075" s="2">
        <v>0</v>
      </c>
      <c r="I1075" s="2">
        <v>0.15000000599999999</v>
      </c>
      <c r="J1075" s="2">
        <v>0.97000002900000004</v>
      </c>
      <c r="K1075" s="2">
        <v>3.2300000190000002</v>
      </c>
      <c r="L1075" s="2">
        <v>0</v>
      </c>
      <c r="M1075" s="2">
        <v>2</v>
      </c>
      <c r="N1075" s="2">
        <v>23</v>
      </c>
      <c r="O1075" s="2">
        <v>163</v>
      </c>
      <c r="P1075" s="2">
        <v>1252</v>
      </c>
      <c r="Q1075" s="2">
        <f t="shared" si="87"/>
        <v>188</v>
      </c>
      <c r="R1075" s="2">
        <f t="shared" si="85"/>
        <v>1440</v>
      </c>
      <c r="S1075" t="str">
        <f t="shared" si="84"/>
        <v>Lightly Active</v>
      </c>
      <c r="T1075" s="2">
        <v>2654</v>
      </c>
    </row>
    <row r="1076" spans="1:20" x14ac:dyDescent="0.25">
      <c r="A1076" s="2">
        <v>8583815059</v>
      </c>
      <c r="B1076" s="3">
        <v>42474</v>
      </c>
      <c r="C1076" t="str">
        <f t="shared" si="86"/>
        <v>Thursday</v>
      </c>
      <c r="D1076" t="str">
        <f t="shared" si="83"/>
        <v>Weekday</v>
      </c>
      <c r="E1076" s="2">
        <v>3135</v>
      </c>
      <c r="F1076" s="2">
        <v>2.4500000480000002</v>
      </c>
      <c r="G1076" s="2">
        <v>2.4500000480000002</v>
      </c>
      <c r="H1076" s="2">
        <v>0</v>
      </c>
      <c r="I1076" s="2">
        <v>0</v>
      </c>
      <c r="J1076" s="2">
        <v>0</v>
      </c>
      <c r="K1076" s="2">
        <v>2.4300000669999999</v>
      </c>
      <c r="L1076" s="2">
        <v>0</v>
      </c>
      <c r="M1076" s="2">
        <v>0</v>
      </c>
      <c r="N1076" s="2">
        <v>0</v>
      </c>
      <c r="O1076" s="2">
        <v>134</v>
      </c>
      <c r="P1076" s="2">
        <v>1306</v>
      </c>
      <c r="Q1076" s="2">
        <f t="shared" si="87"/>
        <v>134</v>
      </c>
      <c r="R1076" s="2">
        <f t="shared" si="85"/>
        <v>1440</v>
      </c>
      <c r="S1076" t="str">
        <f t="shared" si="84"/>
        <v>Sedentary</v>
      </c>
      <c r="T1076" s="2">
        <v>2443</v>
      </c>
    </row>
    <row r="1077" spans="1:20" x14ac:dyDescent="0.25">
      <c r="A1077" s="2">
        <v>8583815059</v>
      </c>
      <c r="B1077" s="3">
        <v>42475</v>
      </c>
      <c r="C1077" t="str">
        <f t="shared" si="86"/>
        <v>Friday</v>
      </c>
      <c r="D1077" t="str">
        <f t="shared" si="83"/>
        <v>Weekday</v>
      </c>
      <c r="E1077" s="2">
        <v>3430</v>
      </c>
      <c r="F1077" s="2">
        <v>2.6800000669999999</v>
      </c>
      <c r="G1077" s="2">
        <v>2.6800000669999999</v>
      </c>
      <c r="H1077" s="2">
        <v>0</v>
      </c>
      <c r="I1077" s="2">
        <v>0</v>
      </c>
      <c r="J1077" s="2">
        <v>0</v>
      </c>
      <c r="K1077" s="2">
        <v>0.89999997600000003</v>
      </c>
      <c r="L1077" s="2">
        <v>0</v>
      </c>
      <c r="M1077" s="2">
        <v>0</v>
      </c>
      <c r="N1077" s="2">
        <v>0</v>
      </c>
      <c r="O1077" s="2">
        <v>65</v>
      </c>
      <c r="P1077" s="2">
        <v>1375</v>
      </c>
      <c r="Q1077" s="2">
        <f t="shared" si="87"/>
        <v>65</v>
      </c>
      <c r="R1077" s="2">
        <f t="shared" si="85"/>
        <v>1440</v>
      </c>
      <c r="S1077" t="str">
        <f t="shared" si="84"/>
        <v>Sedentary</v>
      </c>
      <c r="T1077" s="2">
        <v>2505</v>
      </c>
    </row>
    <row r="1078" spans="1:20" x14ac:dyDescent="0.25">
      <c r="A1078" s="2">
        <v>8583815059</v>
      </c>
      <c r="B1078" s="3">
        <v>42478</v>
      </c>
      <c r="C1078" t="str">
        <f t="shared" si="86"/>
        <v>Monday</v>
      </c>
      <c r="D1078" t="str">
        <f t="shared" si="83"/>
        <v>Weekday</v>
      </c>
      <c r="E1078" s="2">
        <v>3864</v>
      </c>
      <c r="F1078" s="2">
        <v>3.0099999899999998</v>
      </c>
      <c r="G1078" s="2">
        <v>3.0099999899999998</v>
      </c>
      <c r="H1078" s="2">
        <v>0</v>
      </c>
      <c r="I1078" s="2">
        <v>0.310000002</v>
      </c>
      <c r="J1078" s="2">
        <v>1.059999943</v>
      </c>
      <c r="K1078" s="2">
        <v>1.3500000240000001</v>
      </c>
      <c r="L1078" s="2">
        <v>0</v>
      </c>
      <c r="M1078" s="2">
        <v>4</v>
      </c>
      <c r="N1078" s="2">
        <v>22</v>
      </c>
      <c r="O1078" s="2">
        <v>105</v>
      </c>
      <c r="P1078" s="2">
        <v>1309</v>
      </c>
      <c r="Q1078" s="2">
        <f t="shared" si="87"/>
        <v>131</v>
      </c>
      <c r="R1078" s="2">
        <f t="shared" si="85"/>
        <v>1440</v>
      </c>
      <c r="S1078" t="str">
        <f t="shared" si="84"/>
        <v>Sedentary</v>
      </c>
      <c r="T1078" s="2">
        <v>2536</v>
      </c>
    </row>
    <row r="1079" spans="1:20" x14ac:dyDescent="0.25">
      <c r="A1079" s="2">
        <v>8583815059</v>
      </c>
      <c r="B1079" s="3">
        <v>42479</v>
      </c>
      <c r="C1079" t="str">
        <f t="shared" si="86"/>
        <v>Tuesday</v>
      </c>
      <c r="D1079" t="str">
        <f t="shared" si="83"/>
        <v>Weekday</v>
      </c>
      <c r="E1079" s="2">
        <v>5697</v>
      </c>
      <c r="F1079" s="2">
        <v>4.4400000569999998</v>
      </c>
      <c r="G1079" s="2">
        <v>4.4400000569999998</v>
      </c>
      <c r="H1079" s="2">
        <v>0</v>
      </c>
      <c r="I1079" s="2">
        <v>0.52999997099999996</v>
      </c>
      <c r="J1079" s="2">
        <v>0.47999998900000002</v>
      </c>
      <c r="K1079" s="2">
        <v>3.4400000569999998</v>
      </c>
      <c r="L1079" s="2">
        <v>0</v>
      </c>
      <c r="M1079" s="2">
        <v>7</v>
      </c>
      <c r="N1079" s="2">
        <v>10</v>
      </c>
      <c r="O1079" s="2">
        <v>166</v>
      </c>
      <c r="P1079" s="2">
        <v>1257</v>
      </c>
      <c r="Q1079" s="2">
        <f t="shared" si="87"/>
        <v>183</v>
      </c>
      <c r="R1079" s="2">
        <f t="shared" si="85"/>
        <v>1440</v>
      </c>
      <c r="S1079" t="str">
        <f t="shared" si="84"/>
        <v>Lightly Active</v>
      </c>
      <c r="T1079" s="2">
        <v>2668</v>
      </c>
    </row>
    <row r="1080" spans="1:20" x14ac:dyDescent="0.25">
      <c r="A1080" s="2">
        <v>8583815059</v>
      </c>
      <c r="B1080" s="3">
        <v>42480</v>
      </c>
      <c r="C1080" t="str">
        <f t="shared" si="86"/>
        <v>Wednesday</v>
      </c>
      <c r="D1080" t="str">
        <f t="shared" si="83"/>
        <v>Weekday</v>
      </c>
      <c r="E1080" s="2">
        <v>5273</v>
      </c>
      <c r="F1080" s="2">
        <v>4.1100001339999999</v>
      </c>
      <c r="G1080" s="2">
        <v>4.1100001339999999</v>
      </c>
      <c r="H1080" s="2">
        <v>0</v>
      </c>
      <c r="I1080" s="2">
        <v>0</v>
      </c>
      <c r="J1080" s="2">
        <v>1.039999962</v>
      </c>
      <c r="K1080" s="2">
        <v>3.0699999330000001</v>
      </c>
      <c r="L1080" s="2">
        <v>0</v>
      </c>
      <c r="M1080" s="2">
        <v>0</v>
      </c>
      <c r="N1080" s="2">
        <v>27</v>
      </c>
      <c r="O1080" s="2">
        <v>167</v>
      </c>
      <c r="P1080" s="2">
        <v>1246</v>
      </c>
      <c r="Q1080" s="2">
        <f t="shared" si="87"/>
        <v>194</v>
      </c>
      <c r="R1080" s="2">
        <f t="shared" si="85"/>
        <v>1440</v>
      </c>
      <c r="S1080" t="str">
        <f t="shared" si="84"/>
        <v>Lightly Active</v>
      </c>
      <c r="T1080" s="2">
        <v>2647</v>
      </c>
    </row>
    <row r="1081" spans="1:20" x14ac:dyDescent="0.25">
      <c r="A1081" s="2">
        <v>8583815059</v>
      </c>
      <c r="B1081" s="3">
        <v>42481</v>
      </c>
      <c r="C1081" t="str">
        <f t="shared" si="86"/>
        <v>Thursday</v>
      </c>
      <c r="D1081" t="str">
        <f t="shared" si="83"/>
        <v>Weekday</v>
      </c>
      <c r="E1081" s="2">
        <v>8538</v>
      </c>
      <c r="F1081" s="2">
        <v>6.6599998469999999</v>
      </c>
      <c r="G1081" s="2">
        <v>6.6599998469999999</v>
      </c>
      <c r="H1081" s="2">
        <v>0</v>
      </c>
      <c r="I1081" s="2">
        <v>2.630000114</v>
      </c>
      <c r="J1081" s="2">
        <v>1.019999981</v>
      </c>
      <c r="K1081" s="2">
        <v>3.0099999899999998</v>
      </c>
      <c r="L1081" s="2">
        <v>0</v>
      </c>
      <c r="M1081" s="2">
        <v>35</v>
      </c>
      <c r="N1081" s="2">
        <v>18</v>
      </c>
      <c r="O1081" s="2">
        <v>158</v>
      </c>
      <c r="P1081" s="2">
        <v>1229</v>
      </c>
      <c r="Q1081" s="2">
        <f t="shared" si="87"/>
        <v>211</v>
      </c>
      <c r="R1081" s="2">
        <f t="shared" si="85"/>
        <v>1440</v>
      </c>
      <c r="S1081" t="str">
        <f t="shared" si="84"/>
        <v>Fairly Active</v>
      </c>
      <c r="T1081" s="2">
        <v>2883</v>
      </c>
    </row>
    <row r="1082" spans="1:20" x14ac:dyDescent="0.25">
      <c r="A1082" s="2">
        <v>8583815059</v>
      </c>
      <c r="B1082" s="3">
        <v>42482</v>
      </c>
      <c r="C1082" t="str">
        <f t="shared" si="86"/>
        <v>Friday</v>
      </c>
      <c r="D1082" t="str">
        <f t="shared" si="83"/>
        <v>Weekday</v>
      </c>
      <c r="E1082" s="2">
        <v>8687</v>
      </c>
      <c r="F1082" s="2">
        <v>6.7800002099999999</v>
      </c>
      <c r="G1082" s="2">
        <v>6.7800002099999999</v>
      </c>
      <c r="H1082" s="2">
        <v>0</v>
      </c>
      <c r="I1082" s="2">
        <v>0.28999999199999998</v>
      </c>
      <c r="J1082" s="2">
        <v>2.4100000860000002</v>
      </c>
      <c r="K1082" s="2">
        <v>4.079999924</v>
      </c>
      <c r="L1082" s="2">
        <v>0</v>
      </c>
      <c r="M1082" s="2">
        <v>4</v>
      </c>
      <c r="N1082" s="2">
        <v>54</v>
      </c>
      <c r="O1082" s="2">
        <v>212</v>
      </c>
      <c r="P1082" s="2">
        <v>1170</v>
      </c>
      <c r="Q1082" s="2">
        <f t="shared" si="87"/>
        <v>270</v>
      </c>
      <c r="R1082" s="2">
        <f t="shared" si="85"/>
        <v>1440</v>
      </c>
      <c r="S1082" t="str">
        <f t="shared" si="84"/>
        <v>Fairly Active</v>
      </c>
      <c r="T1082" s="2">
        <v>2944</v>
      </c>
    </row>
    <row r="1083" spans="1:20" x14ac:dyDescent="0.25">
      <c r="A1083" s="2">
        <v>8583815059</v>
      </c>
      <c r="B1083" s="3">
        <v>42483</v>
      </c>
      <c r="C1083" t="str">
        <f t="shared" si="86"/>
        <v>Saturday</v>
      </c>
      <c r="D1083" t="str">
        <f t="shared" si="83"/>
        <v>Weekend</v>
      </c>
      <c r="E1083" s="2">
        <v>9423</v>
      </c>
      <c r="F1083" s="2">
        <v>7.3499999049999998</v>
      </c>
      <c r="G1083" s="2">
        <v>7.3499999049999998</v>
      </c>
      <c r="H1083" s="2">
        <v>0</v>
      </c>
      <c r="I1083" s="2">
        <v>0.52999997099999996</v>
      </c>
      <c r="J1083" s="2">
        <v>2.0299999710000001</v>
      </c>
      <c r="K1083" s="2">
        <v>4.75</v>
      </c>
      <c r="L1083" s="2">
        <v>0</v>
      </c>
      <c r="M1083" s="2">
        <v>7</v>
      </c>
      <c r="N1083" s="2">
        <v>44</v>
      </c>
      <c r="O1083" s="2">
        <v>238</v>
      </c>
      <c r="P1083" s="2">
        <v>1151</v>
      </c>
      <c r="Q1083" s="2">
        <f t="shared" si="87"/>
        <v>289</v>
      </c>
      <c r="R1083" s="2">
        <f t="shared" si="85"/>
        <v>1440</v>
      </c>
      <c r="S1083" t="str">
        <f t="shared" si="84"/>
        <v>Fairly Active</v>
      </c>
      <c r="T1083" s="2">
        <v>3012</v>
      </c>
    </row>
    <row r="1084" spans="1:20" x14ac:dyDescent="0.25">
      <c r="A1084" s="2">
        <v>8583815059</v>
      </c>
      <c r="B1084" s="3">
        <v>42484</v>
      </c>
      <c r="C1084" t="str">
        <f t="shared" si="86"/>
        <v>Sunday</v>
      </c>
      <c r="D1084" t="str">
        <f t="shared" si="83"/>
        <v>Weekend</v>
      </c>
      <c r="E1084" s="2">
        <v>8286</v>
      </c>
      <c r="F1084" s="2">
        <v>6.4600000380000004</v>
      </c>
      <c r="G1084" s="2">
        <v>6.4600000380000004</v>
      </c>
      <c r="H1084" s="2">
        <v>0</v>
      </c>
      <c r="I1084" s="2">
        <v>0.15000000599999999</v>
      </c>
      <c r="J1084" s="2">
        <v>2.0499999519999998</v>
      </c>
      <c r="K1084" s="2">
        <v>4.2699999809999998</v>
      </c>
      <c r="L1084" s="2">
        <v>0</v>
      </c>
      <c r="M1084" s="2">
        <v>2</v>
      </c>
      <c r="N1084" s="2">
        <v>44</v>
      </c>
      <c r="O1084" s="2">
        <v>206</v>
      </c>
      <c r="P1084" s="2">
        <v>1188</v>
      </c>
      <c r="Q1084" s="2">
        <f t="shared" si="87"/>
        <v>252</v>
      </c>
      <c r="R1084" s="2">
        <f t="shared" si="85"/>
        <v>1440</v>
      </c>
      <c r="S1084" t="str">
        <f t="shared" si="84"/>
        <v>Fairly Active</v>
      </c>
      <c r="T1084" s="2">
        <v>2889</v>
      </c>
    </row>
    <row r="1085" spans="1:20" x14ac:dyDescent="0.25">
      <c r="A1085" s="2">
        <v>8583815059</v>
      </c>
      <c r="B1085" s="3">
        <v>42485</v>
      </c>
      <c r="C1085" t="str">
        <f t="shared" si="86"/>
        <v>Monday</v>
      </c>
      <c r="D1085" t="str">
        <f t="shared" si="83"/>
        <v>Weekday</v>
      </c>
      <c r="E1085" s="2">
        <v>4503</v>
      </c>
      <c r="F1085" s="2">
        <v>3.5099999899999998</v>
      </c>
      <c r="G1085" s="2">
        <v>3.5099999899999998</v>
      </c>
      <c r="H1085" s="2">
        <v>0</v>
      </c>
      <c r="I1085" s="2">
        <v>1.4700000289999999</v>
      </c>
      <c r="J1085" s="2">
        <v>0.23999999499999999</v>
      </c>
      <c r="K1085" s="2">
        <v>1.809999943</v>
      </c>
      <c r="L1085" s="2">
        <v>0</v>
      </c>
      <c r="M1085" s="2">
        <v>18</v>
      </c>
      <c r="N1085" s="2">
        <v>6</v>
      </c>
      <c r="O1085" s="2">
        <v>122</v>
      </c>
      <c r="P1085" s="2">
        <v>1294</v>
      </c>
      <c r="Q1085" s="2">
        <f t="shared" si="87"/>
        <v>146</v>
      </c>
      <c r="R1085" s="2">
        <f t="shared" si="85"/>
        <v>1440</v>
      </c>
      <c r="S1085" t="str">
        <f t="shared" si="84"/>
        <v>Sedentary</v>
      </c>
      <c r="T1085" s="2">
        <v>2547</v>
      </c>
    </row>
    <row r="1086" spans="1:20" x14ac:dyDescent="0.25">
      <c r="A1086" s="2">
        <v>8583815059</v>
      </c>
      <c r="B1086" s="3">
        <v>42486</v>
      </c>
      <c r="C1086" t="str">
        <f t="shared" si="86"/>
        <v>Tuesday</v>
      </c>
      <c r="D1086" t="str">
        <f t="shared" si="83"/>
        <v>Weekday</v>
      </c>
      <c r="E1086" s="2">
        <v>10499</v>
      </c>
      <c r="F1086" s="2">
        <v>8.1899995800000003</v>
      </c>
      <c r="G1086" s="2">
        <v>8.1899995800000003</v>
      </c>
      <c r="H1086" s="2">
        <v>0</v>
      </c>
      <c r="I1086" s="2">
        <v>7.0000000000000007E-2</v>
      </c>
      <c r="J1086" s="2">
        <v>4.2199997900000001</v>
      </c>
      <c r="K1086" s="2">
        <v>3.8900001049999999</v>
      </c>
      <c r="L1086" s="2">
        <v>0</v>
      </c>
      <c r="M1086" s="2">
        <v>1</v>
      </c>
      <c r="N1086" s="2">
        <v>91</v>
      </c>
      <c r="O1086" s="2">
        <v>214</v>
      </c>
      <c r="P1086" s="2">
        <v>1134</v>
      </c>
      <c r="Q1086" s="2">
        <f t="shared" si="87"/>
        <v>306</v>
      </c>
      <c r="R1086" s="2">
        <f t="shared" si="85"/>
        <v>1440</v>
      </c>
      <c r="S1086" t="str">
        <f t="shared" si="84"/>
        <v>Highly Active</v>
      </c>
      <c r="T1086" s="2">
        <v>3093</v>
      </c>
    </row>
    <row r="1087" spans="1:20" x14ac:dyDescent="0.25">
      <c r="A1087" s="2">
        <v>8583815059</v>
      </c>
      <c r="B1087" s="3">
        <v>42487</v>
      </c>
      <c r="C1087" t="str">
        <f t="shared" si="86"/>
        <v>Wednesday</v>
      </c>
      <c r="D1087" t="str">
        <f t="shared" si="83"/>
        <v>Weekday</v>
      </c>
      <c r="E1087" s="2">
        <v>12474</v>
      </c>
      <c r="F1087" s="2">
        <v>9.7299995419999998</v>
      </c>
      <c r="G1087" s="2">
        <v>9.7299995419999998</v>
      </c>
      <c r="H1087" s="2">
        <v>0</v>
      </c>
      <c r="I1087" s="2">
        <v>6.5999999049999998</v>
      </c>
      <c r="J1087" s="2">
        <v>0.27000001099999998</v>
      </c>
      <c r="K1087" s="2">
        <v>2.869999886</v>
      </c>
      <c r="L1087" s="2">
        <v>0</v>
      </c>
      <c r="M1087" s="2">
        <v>77</v>
      </c>
      <c r="N1087" s="2">
        <v>5</v>
      </c>
      <c r="O1087" s="2">
        <v>129</v>
      </c>
      <c r="P1087" s="2">
        <v>1229</v>
      </c>
      <c r="Q1087" s="2">
        <f t="shared" si="87"/>
        <v>211</v>
      </c>
      <c r="R1087" s="2">
        <f t="shared" si="85"/>
        <v>1440</v>
      </c>
      <c r="S1087" t="str">
        <f t="shared" si="84"/>
        <v>Highly Active</v>
      </c>
      <c r="T1087" s="2">
        <v>3142</v>
      </c>
    </row>
    <row r="1088" spans="1:20" x14ac:dyDescent="0.25">
      <c r="A1088" s="2">
        <v>8583815059</v>
      </c>
      <c r="B1088" s="3">
        <v>42488</v>
      </c>
      <c r="C1088" t="str">
        <f t="shared" si="86"/>
        <v>Thursday</v>
      </c>
      <c r="D1088" t="str">
        <f t="shared" si="83"/>
        <v>Weekday</v>
      </c>
      <c r="E1088" s="2">
        <v>6174</v>
      </c>
      <c r="F1088" s="2">
        <v>4.8200001720000003</v>
      </c>
      <c r="G1088" s="2">
        <v>4.8200001720000003</v>
      </c>
      <c r="H1088" s="2">
        <v>0</v>
      </c>
      <c r="I1088" s="2">
        <v>0</v>
      </c>
      <c r="J1088" s="2">
        <v>1.2000000479999999</v>
      </c>
      <c r="K1088" s="2">
        <v>3.6099998950000001</v>
      </c>
      <c r="L1088" s="2">
        <v>0</v>
      </c>
      <c r="M1088" s="2">
        <v>0</v>
      </c>
      <c r="N1088" s="2">
        <v>28</v>
      </c>
      <c r="O1088" s="2">
        <v>203</v>
      </c>
      <c r="P1088" s="2">
        <v>1209</v>
      </c>
      <c r="Q1088" s="2">
        <f t="shared" si="87"/>
        <v>231</v>
      </c>
      <c r="R1088" s="2">
        <f t="shared" si="85"/>
        <v>1440</v>
      </c>
      <c r="S1088" t="str">
        <f t="shared" si="84"/>
        <v>Lightly Active</v>
      </c>
      <c r="T1088" s="2">
        <v>2757</v>
      </c>
    </row>
    <row r="1089" spans="1:20" x14ac:dyDescent="0.25">
      <c r="A1089" s="2">
        <v>8583815059</v>
      </c>
      <c r="B1089" s="3">
        <v>42489</v>
      </c>
      <c r="C1089" t="str">
        <f t="shared" si="86"/>
        <v>Friday</v>
      </c>
      <c r="D1089" t="str">
        <f t="shared" si="83"/>
        <v>Weekday</v>
      </c>
      <c r="E1089" s="2">
        <v>15168</v>
      </c>
      <c r="F1089" s="2">
        <v>11.829999920000001</v>
      </c>
      <c r="G1089" s="2">
        <v>11.829999920000001</v>
      </c>
      <c r="H1089" s="2">
        <v>0</v>
      </c>
      <c r="I1089" s="2">
        <v>3.9000000950000002</v>
      </c>
      <c r="J1089" s="2">
        <v>3</v>
      </c>
      <c r="K1089" s="2">
        <v>4.920000076</v>
      </c>
      <c r="L1089" s="2">
        <v>0</v>
      </c>
      <c r="M1089" s="2">
        <v>46</v>
      </c>
      <c r="N1089" s="2">
        <v>67</v>
      </c>
      <c r="O1089" s="2">
        <v>258</v>
      </c>
      <c r="P1089" s="2">
        <v>1069</v>
      </c>
      <c r="Q1089" s="2">
        <f t="shared" si="87"/>
        <v>371</v>
      </c>
      <c r="R1089" s="2">
        <f t="shared" si="85"/>
        <v>1440</v>
      </c>
      <c r="S1089" t="str">
        <f t="shared" si="84"/>
        <v>Highly Active</v>
      </c>
      <c r="T1089" s="2">
        <v>3513</v>
      </c>
    </row>
    <row r="1090" spans="1:20" x14ac:dyDescent="0.25">
      <c r="A1090" s="2">
        <v>8583815059</v>
      </c>
      <c r="B1090" s="3">
        <v>42490</v>
      </c>
      <c r="C1090" t="str">
        <f t="shared" si="86"/>
        <v>Saturday</v>
      </c>
      <c r="D1090" t="str">
        <f t="shared" si="83"/>
        <v>Weekend</v>
      </c>
      <c r="E1090" s="2">
        <v>10085</v>
      </c>
      <c r="F1090" s="2">
        <v>7.8699998860000004</v>
      </c>
      <c r="G1090" s="2">
        <v>7.8699998860000004</v>
      </c>
      <c r="H1090" s="2">
        <v>0</v>
      </c>
      <c r="I1090" s="2">
        <v>0.15000000599999999</v>
      </c>
      <c r="J1090" s="2">
        <v>1.2799999710000001</v>
      </c>
      <c r="K1090" s="2">
        <v>6.4299998279999997</v>
      </c>
      <c r="L1090" s="2">
        <v>0</v>
      </c>
      <c r="M1090" s="2">
        <v>2</v>
      </c>
      <c r="N1090" s="2">
        <v>28</v>
      </c>
      <c r="O1090" s="2">
        <v>317</v>
      </c>
      <c r="P1090" s="2">
        <v>1093</v>
      </c>
      <c r="Q1090" s="2">
        <f t="shared" si="87"/>
        <v>347</v>
      </c>
      <c r="R1090" s="2">
        <f t="shared" si="85"/>
        <v>1440</v>
      </c>
      <c r="S1090" t="str">
        <f t="shared" si="84"/>
        <v>Highly Active</v>
      </c>
      <c r="T1090" s="2">
        <v>3164</v>
      </c>
    </row>
    <row r="1091" spans="1:20" x14ac:dyDescent="0.25">
      <c r="A1091" s="2">
        <v>8583815059</v>
      </c>
      <c r="B1091" s="3">
        <v>42491</v>
      </c>
      <c r="C1091" t="str">
        <f t="shared" si="86"/>
        <v>Sunday</v>
      </c>
      <c r="D1091" t="str">
        <f t="shared" ref="D1091:D1154" si="88">IF(OR(C1091="Saturday", C1091="Sunday"), "Weekend", "Weekday")</f>
        <v>Weekend</v>
      </c>
      <c r="E1091" s="2">
        <v>4512</v>
      </c>
      <c r="F1091" s="2">
        <v>3.5199999809999998</v>
      </c>
      <c r="G1091" s="2">
        <v>3.5199999809999998</v>
      </c>
      <c r="H1091" s="2">
        <v>0</v>
      </c>
      <c r="I1091" s="2">
        <v>0.77999997099999996</v>
      </c>
      <c r="J1091" s="2">
        <v>0.119999997</v>
      </c>
      <c r="K1091" s="2">
        <v>2.039999962</v>
      </c>
      <c r="L1091" s="2">
        <v>0</v>
      </c>
      <c r="M1091" s="2">
        <v>10</v>
      </c>
      <c r="N1091" s="2">
        <v>2</v>
      </c>
      <c r="O1091" s="2">
        <v>117</v>
      </c>
      <c r="P1091" s="2">
        <v>1311</v>
      </c>
      <c r="Q1091" s="2">
        <f t="shared" si="87"/>
        <v>129</v>
      </c>
      <c r="R1091" s="2">
        <f t="shared" si="85"/>
        <v>1440</v>
      </c>
      <c r="S1091" t="str">
        <f t="shared" ref="S1091:S1154" si="89">IF(E1091&lt;5000, "Sedentary", IF(E1091&lt;7500, "Lightly Active", IF(E1091&lt;10000, "Fairly Active", "Highly Active")))</f>
        <v>Sedentary</v>
      </c>
      <c r="T1091" s="2">
        <v>2596</v>
      </c>
    </row>
    <row r="1092" spans="1:20" x14ac:dyDescent="0.25">
      <c r="A1092" s="2">
        <v>8583815059</v>
      </c>
      <c r="B1092" s="3">
        <v>42495</v>
      </c>
      <c r="C1092" t="str">
        <f t="shared" si="86"/>
        <v>Thursday</v>
      </c>
      <c r="D1092" t="str">
        <f t="shared" si="88"/>
        <v>Weekday</v>
      </c>
      <c r="E1092" s="2">
        <v>12427</v>
      </c>
      <c r="F1092" s="2">
        <v>9.6899995800000003</v>
      </c>
      <c r="G1092" s="2">
        <v>9.6899995800000003</v>
      </c>
      <c r="H1092" s="2">
        <v>0</v>
      </c>
      <c r="I1092" s="2">
        <v>0</v>
      </c>
      <c r="J1092" s="2">
        <v>0</v>
      </c>
      <c r="K1092" s="2">
        <v>1.1799999480000001</v>
      </c>
      <c r="L1092" s="2">
        <v>0</v>
      </c>
      <c r="M1092" s="2">
        <v>0</v>
      </c>
      <c r="N1092" s="2">
        <v>0</v>
      </c>
      <c r="O1092" s="2">
        <v>70</v>
      </c>
      <c r="P1092" s="2">
        <v>1370</v>
      </c>
      <c r="Q1092" s="2">
        <f t="shared" si="87"/>
        <v>70</v>
      </c>
      <c r="R1092" s="2">
        <f t="shared" si="85"/>
        <v>1440</v>
      </c>
      <c r="S1092" t="str">
        <f t="shared" si="89"/>
        <v>Highly Active</v>
      </c>
      <c r="T1092" s="2">
        <v>3266</v>
      </c>
    </row>
    <row r="1093" spans="1:20" x14ac:dyDescent="0.25">
      <c r="A1093" s="2">
        <v>8583815059</v>
      </c>
      <c r="B1093" s="3">
        <v>42496</v>
      </c>
      <c r="C1093" t="str">
        <f t="shared" si="86"/>
        <v>Friday</v>
      </c>
      <c r="D1093" t="str">
        <f t="shared" si="88"/>
        <v>Weekday</v>
      </c>
      <c r="E1093" s="2">
        <v>5843</v>
      </c>
      <c r="F1093" s="2">
        <v>4.5599999430000002</v>
      </c>
      <c r="G1093" s="2">
        <v>4.5599999430000002</v>
      </c>
      <c r="H1093" s="2">
        <v>0</v>
      </c>
      <c r="I1093" s="2">
        <v>0.14000000100000001</v>
      </c>
      <c r="J1093" s="2">
        <v>1.190000057</v>
      </c>
      <c r="K1093" s="2">
        <v>3.2300000190000002</v>
      </c>
      <c r="L1093" s="2">
        <v>0</v>
      </c>
      <c r="M1093" s="2">
        <v>2</v>
      </c>
      <c r="N1093" s="2">
        <v>22</v>
      </c>
      <c r="O1093" s="2">
        <v>166</v>
      </c>
      <c r="P1093" s="2">
        <v>1250</v>
      </c>
      <c r="Q1093" s="2">
        <f t="shared" si="87"/>
        <v>190</v>
      </c>
      <c r="R1093" s="2">
        <f t="shared" si="85"/>
        <v>1440</v>
      </c>
      <c r="S1093" t="str">
        <f t="shared" si="89"/>
        <v>Lightly Active</v>
      </c>
      <c r="T1093" s="2">
        <v>2683</v>
      </c>
    </row>
    <row r="1094" spans="1:20" x14ac:dyDescent="0.25">
      <c r="A1094" s="2">
        <v>8583815059</v>
      </c>
      <c r="B1094" s="3">
        <v>42497</v>
      </c>
      <c r="C1094" t="str">
        <f t="shared" si="86"/>
        <v>Saturday</v>
      </c>
      <c r="D1094" t="str">
        <f t="shared" si="88"/>
        <v>Weekend</v>
      </c>
      <c r="E1094" s="2">
        <v>6117</v>
      </c>
      <c r="F1094" s="2">
        <v>4.7699999809999998</v>
      </c>
      <c r="G1094" s="2">
        <v>4.7699999809999998</v>
      </c>
      <c r="H1094" s="2">
        <v>0</v>
      </c>
      <c r="I1094" s="2">
        <v>0</v>
      </c>
      <c r="J1094" s="2">
        <v>0</v>
      </c>
      <c r="K1094" s="2">
        <v>4.7699999809999998</v>
      </c>
      <c r="L1094" s="2">
        <v>0</v>
      </c>
      <c r="M1094" s="2">
        <v>0</v>
      </c>
      <c r="N1094" s="2">
        <v>0</v>
      </c>
      <c r="O1094" s="2">
        <v>250</v>
      </c>
      <c r="P1094" s="2">
        <v>1190</v>
      </c>
      <c r="Q1094" s="2">
        <f t="shared" si="87"/>
        <v>250</v>
      </c>
      <c r="R1094" s="2">
        <f t="shared" si="85"/>
        <v>1440</v>
      </c>
      <c r="S1094" t="str">
        <f t="shared" si="89"/>
        <v>Lightly Active</v>
      </c>
      <c r="T1094" s="2">
        <v>2810</v>
      </c>
    </row>
    <row r="1095" spans="1:20" x14ac:dyDescent="0.25">
      <c r="A1095" s="2">
        <v>8583815059</v>
      </c>
      <c r="B1095" s="3">
        <v>42498</v>
      </c>
      <c r="C1095" t="str">
        <f t="shared" si="86"/>
        <v>Sunday</v>
      </c>
      <c r="D1095" t="str">
        <f t="shared" si="88"/>
        <v>Weekend</v>
      </c>
      <c r="E1095" s="2">
        <v>9217</v>
      </c>
      <c r="F1095" s="2">
        <v>7.1900000569999998</v>
      </c>
      <c r="G1095" s="2">
        <v>7.1900000569999998</v>
      </c>
      <c r="H1095" s="2">
        <v>0</v>
      </c>
      <c r="I1095" s="2">
        <v>0.219999999</v>
      </c>
      <c r="J1095" s="2">
        <v>3.3099999430000002</v>
      </c>
      <c r="K1095" s="2">
        <v>3.6600000860000002</v>
      </c>
      <c r="L1095" s="2">
        <v>0</v>
      </c>
      <c r="M1095" s="2">
        <v>3</v>
      </c>
      <c r="N1095" s="2">
        <v>72</v>
      </c>
      <c r="O1095" s="2">
        <v>182</v>
      </c>
      <c r="P1095" s="2">
        <v>1183</v>
      </c>
      <c r="Q1095" s="2">
        <f t="shared" si="87"/>
        <v>257</v>
      </c>
      <c r="R1095" s="2">
        <f t="shared" si="85"/>
        <v>1440</v>
      </c>
      <c r="S1095" t="str">
        <f t="shared" si="89"/>
        <v>Fairly Active</v>
      </c>
      <c r="T1095" s="2">
        <v>2940</v>
      </c>
    </row>
    <row r="1096" spans="1:20" x14ac:dyDescent="0.25">
      <c r="A1096" s="2">
        <v>8583815059</v>
      </c>
      <c r="B1096" s="3">
        <v>42499</v>
      </c>
      <c r="C1096" t="str">
        <f t="shared" si="86"/>
        <v>Monday</v>
      </c>
      <c r="D1096" t="str">
        <f t="shared" si="88"/>
        <v>Weekday</v>
      </c>
      <c r="E1096" s="2">
        <v>9877</v>
      </c>
      <c r="F1096" s="2">
        <v>7.6999998090000004</v>
      </c>
      <c r="G1096" s="2">
        <v>7.6999998090000004</v>
      </c>
      <c r="H1096" s="2">
        <v>0</v>
      </c>
      <c r="I1096" s="2">
        <v>5.7600002290000001</v>
      </c>
      <c r="J1096" s="2">
        <v>0.17000000200000001</v>
      </c>
      <c r="K1096" s="2">
        <v>1.730000019</v>
      </c>
      <c r="L1096" s="2">
        <v>0</v>
      </c>
      <c r="M1096" s="2">
        <v>66</v>
      </c>
      <c r="N1096" s="2">
        <v>4</v>
      </c>
      <c r="O1096" s="2">
        <v>110</v>
      </c>
      <c r="P1096" s="2">
        <v>1260</v>
      </c>
      <c r="Q1096" s="2">
        <f t="shared" si="87"/>
        <v>180</v>
      </c>
      <c r="R1096" s="2">
        <f t="shared" si="85"/>
        <v>1440</v>
      </c>
      <c r="S1096" t="str">
        <f t="shared" si="89"/>
        <v>Fairly Active</v>
      </c>
      <c r="T1096" s="2">
        <v>2947</v>
      </c>
    </row>
    <row r="1097" spans="1:20" x14ac:dyDescent="0.25">
      <c r="A1097" s="2">
        <v>8583815059</v>
      </c>
      <c r="B1097" s="3">
        <v>42500</v>
      </c>
      <c r="C1097" t="str">
        <f t="shared" si="86"/>
        <v>Tuesday</v>
      </c>
      <c r="D1097" t="str">
        <f t="shared" si="88"/>
        <v>Weekday</v>
      </c>
      <c r="E1097" s="2">
        <v>8240</v>
      </c>
      <c r="F1097" s="2">
        <v>6.4299998279999997</v>
      </c>
      <c r="G1097" s="2">
        <v>6.4299998279999997</v>
      </c>
      <c r="H1097" s="2">
        <v>0</v>
      </c>
      <c r="I1097" s="2">
        <v>0.689999998</v>
      </c>
      <c r="J1097" s="2">
        <v>2.0099999899999998</v>
      </c>
      <c r="K1097" s="2">
        <v>3.7200000289999999</v>
      </c>
      <c r="L1097" s="2">
        <v>0</v>
      </c>
      <c r="M1097" s="2">
        <v>9</v>
      </c>
      <c r="N1097" s="2">
        <v>43</v>
      </c>
      <c r="O1097" s="2">
        <v>162</v>
      </c>
      <c r="P1097" s="2">
        <v>1226</v>
      </c>
      <c r="Q1097" s="2">
        <f t="shared" si="87"/>
        <v>214</v>
      </c>
      <c r="R1097" s="2">
        <f t="shared" si="85"/>
        <v>1440</v>
      </c>
      <c r="S1097" t="str">
        <f t="shared" si="89"/>
        <v>Fairly Active</v>
      </c>
      <c r="T1097" s="2">
        <v>2846</v>
      </c>
    </row>
    <row r="1098" spans="1:20" x14ac:dyDescent="0.25">
      <c r="A1098" s="2">
        <v>8583815059</v>
      </c>
      <c r="B1098" s="3">
        <v>42501</v>
      </c>
      <c r="C1098" t="str">
        <f t="shared" si="86"/>
        <v>Wednesday</v>
      </c>
      <c r="D1098" t="str">
        <f t="shared" si="88"/>
        <v>Weekday</v>
      </c>
      <c r="E1098" s="2">
        <v>8701</v>
      </c>
      <c r="F1098" s="2">
        <v>6.7899999619999996</v>
      </c>
      <c r="G1098" s="2">
        <v>6.7899999619999996</v>
      </c>
      <c r="H1098" s="2">
        <v>0</v>
      </c>
      <c r="I1098" s="2">
        <v>0.37000000500000002</v>
      </c>
      <c r="J1098" s="2">
        <v>3.2400000100000002</v>
      </c>
      <c r="K1098" s="2">
        <v>3.170000076</v>
      </c>
      <c r="L1098" s="2">
        <v>0</v>
      </c>
      <c r="M1098" s="2">
        <v>5</v>
      </c>
      <c r="N1098" s="2">
        <v>71</v>
      </c>
      <c r="O1098" s="2">
        <v>177</v>
      </c>
      <c r="P1098" s="2">
        <v>1106</v>
      </c>
      <c r="Q1098" s="2">
        <f t="shared" si="87"/>
        <v>253</v>
      </c>
      <c r="R1098" s="2">
        <f t="shared" si="85"/>
        <v>1359</v>
      </c>
      <c r="S1098" t="str">
        <f t="shared" si="89"/>
        <v>Fairly Active</v>
      </c>
      <c r="T1098" s="2">
        <v>2804</v>
      </c>
    </row>
    <row r="1099" spans="1:20" x14ac:dyDescent="0.25">
      <c r="A1099" s="2">
        <v>8792009665</v>
      </c>
      <c r="B1099" s="3">
        <v>42461</v>
      </c>
      <c r="C1099" t="str">
        <f t="shared" si="86"/>
        <v>Friday</v>
      </c>
      <c r="D1099" t="str">
        <f t="shared" si="88"/>
        <v>Weekday</v>
      </c>
      <c r="E1099" s="2">
        <v>4592</v>
      </c>
      <c r="F1099" s="2">
        <v>2.9400000569999998</v>
      </c>
      <c r="G1099" s="2">
        <v>2.9400000569999998</v>
      </c>
      <c r="H1099" s="2">
        <v>0</v>
      </c>
      <c r="I1099" s="2">
        <v>0.10000000100000001</v>
      </c>
      <c r="J1099" s="2">
        <v>0.14000000100000001</v>
      </c>
      <c r="K1099" s="2">
        <v>2.7000000480000002</v>
      </c>
      <c r="L1099" s="2">
        <v>0</v>
      </c>
      <c r="M1099" s="2">
        <v>4</v>
      </c>
      <c r="N1099" s="2">
        <v>8</v>
      </c>
      <c r="O1099" s="2">
        <v>176</v>
      </c>
      <c r="P1099" s="2">
        <v>748</v>
      </c>
      <c r="Q1099" s="2">
        <f t="shared" si="87"/>
        <v>188</v>
      </c>
      <c r="R1099" s="2">
        <f t="shared" si="85"/>
        <v>936</v>
      </c>
      <c r="S1099" t="str">
        <f t="shared" si="89"/>
        <v>Sedentary</v>
      </c>
      <c r="T1099" s="2">
        <v>2260</v>
      </c>
    </row>
    <row r="1100" spans="1:20" x14ac:dyDescent="0.25">
      <c r="A1100" s="2">
        <v>8792009665</v>
      </c>
      <c r="B1100" s="3">
        <v>42462</v>
      </c>
      <c r="C1100" t="str">
        <f t="shared" si="86"/>
        <v>Saturday</v>
      </c>
      <c r="D1100" t="str">
        <f t="shared" si="88"/>
        <v>Weekend</v>
      </c>
      <c r="E1100" s="2">
        <v>8452</v>
      </c>
      <c r="F1100" s="2">
        <v>5.4099998469999999</v>
      </c>
      <c r="G1100" s="2">
        <v>5.4099998469999999</v>
      </c>
      <c r="H1100" s="2">
        <v>0</v>
      </c>
      <c r="I1100" s="2">
        <v>0.25999999000000001</v>
      </c>
      <c r="J1100" s="2">
        <v>0.38999998600000002</v>
      </c>
      <c r="K1100" s="2">
        <v>4.7600002290000001</v>
      </c>
      <c r="L1100" s="2">
        <v>0</v>
      </c>
      <c r="M1100" s="2">
        <v>9</v>
      </c>
      <c r="N1100" s="2">
        <v>24</v>
      </c>
      <c r="O1100" s="2">
        <v>328</v>
      </c>
      <c r="P1100" s="2">
        <v>1079</v>
      </c>
      <c r="Q1100" s="2">
        <f t="shared" si="87"/>
        <v>361</v>
      </c>
      <c r="R1100" s="2">
        <f t="shared" si="85"/>
        <v>1440</v>
      </c>
      <c r="S1100" t="str">
        <f t="shared" si="89"/>
        <v>Fairly Active</v>
      </c>
      <c r="T1100" s="2">
        <v>3004</v>
      </c>
    </row>
    <row r="1101" spans="1:20" x14ac:dyDescent="0.25">
      <c r="A1101" s="2">
        <v>8792009665</v>
      </c>
      <c r="B1101" s="3">
        <v>42463</v>
      </c>
      <c r="C1101" t="str">
        <f t="shared" si="86"/>
        <v>Sunday</v>
      </c>
      <c r="D1101" t="str">
        <f t="shared" si="88"/>
        <v>Weekend</v>
      </c>
      <c r="E1101" s="2">
        <v>7238</v>
      </c>
      <c r="F1101" s="2">
        <v>4.6300001139999996</v>
      </c>
      <c r="G1101" s="2">
        <v>4.6300001139999996</v>
      </c>
      <c r="H1101" s="2">
        <v>0</v>
      </c>
      <c r="I1101" s="2">
        <v>0.109999999</v>
      </c>
      <c r="J1101" s="2">
        <v>0.23000000400000001</v>
      </c>
      <c r="K1101" s="2">
        <v>4.2899999619999996</v>
      </c>
      <c r="L1101" s="2">
        <v>0</v>
      </c>
      <c r="M1101" s="2">
        <v>2</v>
      </c>
      <c r="N1101" s="2">
        <v>6</v>
      </c>
      <c r="O1101" s="2">
        <v>279</v>
      </c>
      <c r="P1101" s="2">
        <v>636</v>
      </c>
      <c r="Q1101" s="2">
        <f t="shared" si="87"/>
        <v>287</v>
      </c>
      <c r="R1101" s="2">
        <f t="shared" si="85"/>
        <v>923</v>
      </c>
      <c r="S1101" t="str">
        <f t="shared" si="89"/>
        <v>Lightly Active</v>
      </c>
      <c r="T1101" s="2">
        <v>2667</v>
      </c>
    </row>
    <row r="1102" spans="1:20" x14ac:dyDescent="0.25">
      <c r="A1102" s="2">
        <v>8792009665</v>
      </c>
      <c r="B1102" s="3">
        <v>42464</v>
      </c>
      <c r="C1102" t="str">
        <f t="shared" si="86"/>
        <v>Monday</v>
      </c>
      <c r="D1102" t="str">
        <f t="shared" si="88"/>
        <v>Weekday</v>
      </c>
      <c r="E1102" s="2">
        <v>3821</v>
      </c>
      <c r="F1102" s="2">
        <v>2.4500000480000002</v>
      </c>
      <c r="G1102" s="2">
        <v>2.4500000480000002</v>
      </c>
      <c r="H1102" s="2">
        <v>0</v>
      </c>
      <c r="I1102" s="2">
        <v>0</v>
      </c>
      <c r="J1102" s="2">
        <v>0.219999999</v>
      </c>
      <c r="K1102" s="2">
        <v>2.2300000190000002</v>
      </c>
      <c r="L1102" s="2">
        <v>0</v>
      </c>
      <c r="M1102" s="2">
        <v>0</v>
      </c>
      <c r="N1102" s="2">
        <v>9</v>
      </c>
      <c r="O1102" s="2">
        <v>161</v>
      </c>
      <c r="P1102" s="2">
        <v>675</v>
      </c>
      <c r="Q1102" s="2">
        <f t="shared" si="87"/>
        <v>170</v>
      </c>
      <c r="R1102" s="2">
        <f t="shared" si="85"/>
        <v>845</v>
      </c>
      <c r="S1102" t="str">
        <f t="shared" si="89"/>
        <v>Sedentary</v>
      </c>
      <c r="T1102" s="2">
        <v>2229</v>
      </c>
    </row>
    <row r="1103" spans="1:20" x14ac:dyDescent="0.25">
      <c r="A1103" s="2">
        <v>8792009665</v>
      </c>
      <c r="B1103" s="3">
        <v>42465</v>
      </c>
      <c r="C1103" t="str">
        <f t="shared" si="86"/>
        <v>Tuesday</v>
      </c>
      <c r="D1103" t="str">
        <f t="shared" si="88"/>
        <v>Weekday</v>
      </c>
      <c r="E1103" s="2">
        <v>2332</v>
      </c>
      <c r="F1103" s="2">
        <v>1.4900000099999999</v>
      </c>
      <c r="G1103" s="2">
        <v>1.4900000099999999</v>
      </c>
      <c r="H1103" s="2">
        <v>0</v>
      </c>
      <c r="I1103" s="2">
        <v>0.01</v>
      </c>
      <c r="J1103" s="2">
        <v>0.18000000699999999</v>
      </c>
      <c r="K1103" s="2">
        <v>1.2999999520000001</v>
      </c>
      <c r="L1103" s="2">
        <v>0</v>
      </c>
      <c r="M1103" s="2">
        <v>1</v>
      </c>
      <c r="N1103" s="2">
        <v>10</v>
      </c>
      <c r="O1103" s="2">
        <v>111</v>
      </c>
      <c r="P1103" s="2">
        <v>904</v>
      </c>
      <c r="Q1103" s="2">
        <f t="shared" si="87"/>
        <v>122</v>
      </c>
      <c r="R1103" s="2">
        <f t="shared" si="85"/>
        <v>1026</v>
      </c>
      <c r="S1103" t="str">
        <f t="shared" si="89"/>
        <v>Sedentary</v>
      </c>
      <c r="T1103" s="2">
        <v>2100</v>
      </c>
    </row>
    <row r="1104" spans="1:20" x14ac:dyDescent="0.25">
      <c r="A1104" s="2">
        <v>8792009665</v>
      </c>
      <c r="B1104" s="3">
        <v>42466</v>
      </c>
      <c r="C1104" t="str">
        <f t="shared" si="86"/>
        <v>Wednesday</v>
      </c>
      <c r="D1104" t="str">
        <f t="shared" si="88"/>
        <v>Weekday</v>
      </c>
      <c r="E1104" s="2">
        <v>2121</v>
      </c>
      <c r="F1104" s="2">
        <v>1.3600000139999999</v>
      </c>
      <c r="G1104" s="2">
        <v>1.3600000139999999</v>
      </c>
      <c r="H1104" s="2">
        <v>0</v>
      </c>
      <c r="I1104" s="2">
        <v>0</v>
      </c>
      <c r="J1104" s="2">
        <v>0</v>
      </c>
      <c r="K1104" s="2">
        <v>1.3600000139999999</v>
      </c>
      <c r="L1104" s="2">
        <v>0</v>
      </c>
      <c r="M1104" s="2">
        <v>0</v>
      </c>
      <c r="N1104" s="2">
        <v>0</v>
      </c>
      <c r="O1104" s="2">
        <v>122</v>
      </c>
      <c r="P1104" s="2">
        <v>855</v>
      </c>
      <c r="Q1104" s="2">
        <f t="shared" si="87"/>
        <v>122</v>
      </c>
      <c r="R1104" s="2">
        <f t="shared" si="85"/>
        <v>977</v>
      </c>
      <c r="S1104" t="str">
        <f t="shared" si="89"/>
        <v>Sedentary</v>
      </c>
      <c r="T1104" s="2">
        <v>2114</v>
      </c>
    </row>
    <row r="1105" spans="1:20" x14ac:dyDescent="0.25">
      <c r="A1105" s="2">
        <v>8792009665</v>
      </c>
      <c r="B1105" s="3">
        <v>42467</v>
      </c>
      <c r="C1105" t="str">
        <f t="shared" si="86"/>
        <v>Thursday</v>
      </c>
      <c r="D1105" t="str">
        <f t="shared" si="88"/>
        <v>Weekday</v>
      </c>
      <c r="E1105" s="2">
        <v>1291</v>
      </c>
      <c r="F1105" s="2">
        <v>0.829999983</v>
      </c>
      <c r="G1105" s="2">
        <v>0.829999983</v>
      </c>
      <c r="H1105" s="2">
        <v>0</v>
      </c>
      <c r="I1105" s="2">
        <v>0</v>
      </c>
      <c r="J1105" s="2">
        <v>0</v>
      </c>
      <c r="K1105" s="2">
        <v>0.829999983</v>
      </c>
      <c r="L1105" s="2">
        <v>0</v>
      </c>
      <c r="M1105" s="2">
        <v>0</v>
      </c>
      <c r="N1105" s="2">
        <v>0</v>
      </c>
      <c r="O1105" s="2">
        <v>77</v>
      </c>
      <c r="P1105" s="2">
        <v>888</v>
      </c>
      <c r="Q1105" s="2">
        <f t="shared" si="87"/>
        <v>77</v>
      </c>
      <c r="R1105" s="2">
        <f t="shared" si="85"/>
        <v>965</v>
      </c>
      <c r="S1105" t="str">
        <f t="shared" si="89"/>
        <v>Sedentary</v>
      </c>
      <c r="T1105" s="2">
        <v>1961</v>
      </c>
    </row>
    <row r="1106" spans="1:20" x14ac:dyDescent="0.25">
      <c r="A1106" s="2">
        <v>8792009665</v>
      </c>
      <c r="B1106" s="3">
        <v>42468</v>
      </c>
      <c r="C1106" t="str">
        <f t="shared" si="86"/>
        <v>Friday</v>
      </c>
      <c r="D1106" t="str">
        <f t="shared" si="88"/>
        <v>Weekday</v>
      </c>
      <c r="E1106" s="2">
        <v>1467</v>
      </c>
      <c r="F1106" s="2">
        <v>0.939999998</v>
      </c>
      <c r="G1106" s="2">
        <v>0.939999998</v>
      </c>
      <c r="H1106" s="2">
        <v>0</v>
      </c>
      <c r="I1106" s="2">
        <v>0.10000000100000001</v>
      </c>
      <c r="J1106" s="2">
        <v>0.209999993</v>
      </c>
      <c r="K1106" s="2">
        <v>0.62999999500000003</v>
      </c>
      <c r="L1106" s="2">
        <v>0</v>
      </c>
      <c r="M1106" s="2">
        <v>2</v>
      </c>
      <c r="N1106" s="2">
        <v>8</v>
      </c>
      <c r="O1106" s="2">
        <v>71</v>
      </c>
      <c r="P1106" s="2">
        <v>912</v>
      </c>
      <c r="Q1106" s="2">
        <f t="shared" si="87"/>
        <v>81</v>
      </c>
      <c r="R1106" s="2">
        <f t="shared" ref="R1106:R1165" si="90">SUM(M1106:P1106)</f>
        <v>993</v>
      </c>
      <c r="S1106" t="str">
        <f t="shared" si="89"/>
        <v>Sedentary</v>
      </c>
      <c r="T1106" s="2">
        <v>1953</v>
      </c>
    </row>
    <row r="1107" spans="1:20" x14ac:dyDescent="0.25">
      <c r="A1107" s="2">
        <v>8792009665</v>
      </c>
      <c r="B1107" s="3">
        <v>42469</v>
      </c>
      <c r="C1107" t="str">
        <f t="shared" si="86"/>
        <v>Saturday</v>
      </c>
      <c r="D1107" t="str">
        <f t="shared" si="88"/>
        <v>Weekend</v>
      </c>
      <c r="E1107" s="2">
        <v>1022</v>
      </c>
      <c r="F1107" s="2">
        <v>0.64999997600000003</v>
      </c>
      <c r="G1107" s="2">
        <v>0.64999997600000003</v>
      </c>
      <c r="H1107" s="2">
        <v>0</v>
      </c>
      <c r="I1107" s="2">
        <v>0</v>
      </c>
      <c r="J1107" s="2">
        <v>0</v>
      </c>
      <c r="K1107" s="2">
        <v>0.64999997600000003</v>
      </c>
      <c r="L1107" s="2">
        <v>0</v>
      </c>
      <c r="M1107" s="2">
        <v>0</v>
      </c>
      <c r="N1107" s="2">
        <v>0</v>
      </c>
      <c r="O1107" s="2">
        <v>63</v>
      </c>
      <c r="P1107" s="2">
        <v>739</v>
      </c>
      <c r="Q1107" s="2">
        <f t="shared" si="87"/>
        <v>63</v>
      </c>
      <c r="R1107" s="2">
        <f t="shared" si="90"/>
        <v>802</v>
      </c>
      <c r="S1107" t="str">
        <f t="shared" si="89"/>
        <v>Sedentary</v>
      </c>
      <c r="T1107" s="2">
        <v>1890</v>
      </c>
    </row>
    <row r="1108" spans="1:20" x14ac:dyDescent="0.25">
      <c r="A1108" s="2">
        <v>8792009665</v>
      </c>
      <c r="B1108" s="3">
        <v>42470</v>
      </c>
      <c r="C1108" t="str">
        <f t="shared" si="86"/>
        <v>Sunday</v>
      </c>
      <c r="D1108" t="str">
        <f t="shared" si="88"/>
        <v>Weekend</v>
      </c>
      <c r="E1108" s="2">
        <v>4605</v>
      </c>
      <c r="F1108" s="2">
        <v>2.9500000480000002</v>
      </c>
      <c r="G1108" s="2">
        <v>2.9500000480000002</v>
      </c>
      <c r="H1108" s="2">
        <v>0</v>
      </c>
      <c r="I1108" s="2">
        <v>0</v>
      </c>
      <c r="J1108" s="2">
        <v>0</v>
      </c>
      <c r="K1108" s="2">
        <v>2.9500000480000002</v>
      </c>
      <c r="L1108" s="2">
        <v>0</v>
      </c>
      <c r="M1108" s="2">
        <v>0</v>
      </c>
      <c r="N1108" s="2">
        <v>0</v>
      </c>
      <c r="O1108" s="2">
        <v>179</v>
      </c>
      <c r="P1108" s="2">
        <v>1261</v>
      </c>
      <c r="Q1108" s="2">
        <f t="shared" si="87"/>
        <v>179</v>
      </c>
      <c r="R1108" s="2">
        <f t="shared" si="90"/>
        <v>1440</v>
      </c>
      <c r="S1108" t="str">
        <f t="shared" si="89"/>
        <v>Sedentary</v>
      </c>
      <c r="T1108" s="2">
        <v>2253</v>
      </c>
    </row>
    <row r="1109" spans="1:20" x14ac:dyDescent="0.25">
      <c r="A1109" s="2">
        <v>8792009665</v>
      </c>
      <c r="B1109" s="3">
        <v>42473</v>
      </c>
      <c r="C1109" t="str">
        <f t="shared" ref="C1109:C1166" si="91">CHOOSE(WEEKDAY(B1109), "Sunday", "Monday", "Tuesday", "Wednesday", "Thursday", "Friday", "Saturday")</f>
        <v>Wednesday</v>
      </c>
      <c r="D1109" t="str">
        <f t="shared" si="88"/>
        <v>Weekday</v>
      </c>
      <c r="E1109" s="2">
        <v>1320</v>
      </c>
      <c r="F1109" s="2">
        <v>0.83999997400000004</v>
      </c>
      <c r="G1109" s="2">
        <v>0.83999997400000004</v>
      </c>
      <c r="H1109" s="2">
        <v>0</v>
      </c>
      <c r="I1109" s="2">
        <v>0</v>
      </c>
      <c r="J1109" s="2">
        <v>0</v>
      </c>
      <c r="K1109" s="2">
        <v>0.83999997400000004</v>
      </c>
      <c r="L1109" s="2">
        <v>0</v>
      </c>
      <c r="M1109" s="2">
        <v>0</v>
      </c>
      <c r="N1109" s="2">
        <v>0</v>
      </c>
      <c r="O1109" s="2">
        <v>82</v>
      </c>
      <c r="P1109" s="2">
        <v>806</v>
      </c>
      <c r="Q1109" s="2">
        <f t="shared" ref="Q1109:Q1166" si="92">SUM(M1109:O1109)</f>
        <v>82</v>
      </c>
      <c r="R1109" s="2">
        <f t="shared" si="90"/>
        <v>888</v>
      </c>
      <c r="S1109" t="str">
        <f t="shared" si="89"/>
        <v>Sedentary</v>
      </c>
      <c r="T1109" s="2">
        <v>1934</v>
      </c>
    </row>
    <row r="1110" spans="1:20" x14ac:dyDescent="0.25">
      <c r="A1110" s="2">
        <v>8792009665</v>
      </c>
      <c r="B1110" s="3">
        <v>42474</v>
      </c>
      <c r="C1110" t="str">
        <f t="shared" si="91"/>
        <v>Thursday</v>
      </c>
      <c r="D1110" t="str">
        <f t="shared" si="88"/>
        <v>Weekday</v>
      </c>
      <c r="E1110" s="2">
        <v>1219</v>
      </c>
      <c r="F1110" s="2">
        <v>0.77999997099999996</v>
      </c>
      <c r="G1110" s="2">
        <v>0.77999997099999996</v>
      </c>
      <c r="H1110" s="2">
        <v>0</v>
      </c>
      <c r="I1110" s="2">
        <v>0</v>
      </c>
      <c r="J1110" s="2">
        <v>0</v>
      </c>
      <c r="K1110" s="2">
        <v>0.77999997099999996</v>
      </c>
      <c r="L1110" s="2">
        <v>0</v>
      </c>
      <c r="M1110" s="2">
        <v>0</v>
      </c>
      <c r="N1110" s="2">
        <v>0</v>
      </c>
      <c r="O1110" s="2">
        <v>84</v>
      </c>
      <c r="P1110" s="2">
        <v>853</v>
      </c>
      <c r="Q1110" s="2">
        <f t="shared" si="92"/>
        <v>84</v>
      </c>
      <c r="R1110" s="2">
        <f t="shared" si="90"/>
        <v>937</v>
      </c>
      <c r="S1110" t="str">
        <f t="shared" si="89"/>
        <v>Sedentary</v>
      </c>
      <c r="T1110" s="2">
        <v>1963</v>
      </c>
    </row>
    <row r="1111" spans="1:20" x14ac:dyDescent="0.25">
      <c r="A1111" s="2">
        <v>8792009665</v>
      </c>
      <c r="B1111" s="3">
        <v>42475</v>
      </c>
      <c r="C1111" t="str">
        <f t="shared" si="91"/>
        <v>Friday</v>
      </c>
      <c r="D1111" t="str">
        <f t="shared" si="88"/>
        <v>Weekday</v>
      </c>
      <c r="E1111" s="2">
        <v>2483</v>
      </c>
      <c r="F1111" s="2">
        <v>1.5900000329999999</v>
      </c>
      <c r="G1111" s="2">
        <v>1.5900000329999999</v>
      </c>
      <c r="H1111" s="2">
        <v>0</v>
      </c>
      <c r="I1111" s="2">
        <v>0</v>
      </c>
      <c r="J1111" s="2">
        <v>0</v>
      </c>
      <c r="K1111" s="2">
        <v>1.5900000329999999</v>
      </c>
      <c r="L1111" s="2">
        <v>0</v>
      </c>
      <c r="M1111" s="2">
        <v>0</v>
      </c>
      <c r="N1111" s="2">
        <v>0</v>
      </c>
      <c r="O1111" s="2">
        <v>126</v>
      </c>
      <c r="P1111" s="2">
        <v>937</v>
      </c>
      <c r="Q1111" s="2">
        <f t="shared" si="92"/>
        <v>126</v>
      </c>
      <c r="R1111" s="2">
        <f t="shared" si="90"/>
        <v>1063</v>
      </c>
      <c r="S1111" t="str">
        <f t="shared" si="89"/>
        <v>Sedentary</v>
      </c>
      <c r="T1111" s="2">
        <v>2009</v>
      </c>
    </row>
    <row r="1112" spans="1:20" x14ac:dyDescent="0.25">
      <c r="A1112" s="2">
        <v>8792009665</v>
      </c>
      <c r="B1112" s="3">
        <v>42476</v>
      </c>
      <c r="C1112" t="str">
        <f t="shared" si="91"/>
        <v>Saturday</v>
      </c>
      <c r="D1112" t="str">
        <f t="shared" si="88"/>
        <v>Weekend</v>
      </c>
      <c r="E1112" s="2">
        <v>244</v>
      </c>
      <c r="F1112" s="2">
        <v>0.15999999600000001</v>
      </c>
      <c r="G1112" s="2">
        <v>0.15999999600000001</v>
      </c>
      <c r="H1112" s="2">
        <v>0</v>
      </c>
      <c r="I1112" s="2">
        <v>0</v>
      </c>
      <c r="J1112" s="2">
        <v>0</v>
      </c>
      <c r="K1112" s="2">
        <v>0.15999999600000001</v>
      </c>
      <c r="L1112" s="2">
        <v>0</v>
      </c>
      <c r="M1112" s="2">
        <v>0</v>
      </c>
      <c r="N1112" s="2">
        <v>0</v>
      </c>
      <c r="O1112" s="2">
        <v>12</v>
      </c>
      <c r="P1112" s="2">
        <v>1428</v>
      </c>
      <c r="Q1112" s="2">
        <f t="shared" si="92"/>
        <v>12</v>
      </c>
      <c r="R1112" s="2">
        <f t="shared" si="90"/>
        <v>1440</v>
      </c>
      <c r="S1112" t="str">
        <f t="shared" si="89"/>
        <v>Sedentary</v>
      </c>
      <c r="T1112" s="2">
        <v>1721</v>
      </c>
    </row>
    <row r="1113" spans="1:20" x14ac:dyDescent="0.25">
      <c r="A1113" s="2">
        <v>8792009665</v>
      </c>
      <c r="B1113" s="3">
        <v>42480</v>
      </c>
      <c r="C1113" t="str">
        <f t="shared" si="91"/>
        <v>Wednesday</v>
      </c>
      <c r="D1113" t="str">
        <f t="shared" si="88"/>
        <v>Weekday</v>
      </c>
      <c r="E1113" s="2">
        <v>3147</v>
      </c>
      <c r="F1113" s="2">
        <v>2.0099999899999998</v>
      </c>
      <c r="G1113" s="2">
        <v>2.0099999899999998</v>
      </c>
      <c r="H1113" s="2">
        <v>0</v>
      </c>
      <c r="I1113" s="2">
        <v>0</v>
      </c>
      <c r="J1113" s="2">
        <v>0.280000001</v>
      </c>
      <c r="K1113" s="2">
        <v>1.7400000099999999</v>
      </c>
      <c r="L1113" s="2">
        <v>0</v>
      </c>
      <c r="M1113" s="2">
        <v>0</v>
      </c>
      <c r="N1113" s="2">
        <v>10</v>
      </c>
      <c r="O1113" s="2">
        <v>139</v>
      </c>
      <c r="P1113" s="2">
        <v>744</v>
      </c>
      <c r="Q1113" s="2">
        <f t="shared" si="92"/>
        <v>149</v>
      </c>
      <c r="R1113" s="2">
        <f t="shared" si="90"/>
        <v>893</v>
      </c>
      <c r="S1113" t="str">
        <f t="shared" si="89"/>
        <v>Sedentary</v>
      </c>
      <c r="T1113" s="2">
        <v>2188</v>
      </c>
    </row>
    <row r="1114" spans="1:20" x14ac:dyDescent="0.25">
      <c r="A1114" s="2">
        <v>8792009665</v>
      </c>
      <c r="B1114" s="3">
        <v>42482</v>
      </c>
      <c r="C1114" t="str">
        <f t="shared" si="91"/>
        <v>Friday</v>
      </c>
      <c r="D1114" t="str">
        <f t="shared" si="88"/>
        <v>Weekday</v>
      </c>
      <c r="E1114" s="2">
        <v>4068</v>
      </c>
      <c r="F1114" s="2">
        <v>2.5999999049999998</v>
      </c>
      <c r="G1114" s="2">
        <v>2.5999999049999998</v>
      </c>
      <c r="H1114" s="2">
        <v>0</v>
      </c>
      <c r="I1114" s="2">
        <v>5.0000001000000002E-2</v>
      </c>
      <c r="J1114" s="2">
        <v>0.280000001</v>
      </c>
      <c r="K1114" s="2">
        <v>2.2699999809999998</v>
      </c>
      <c r="L1114" s="2">
        <v>0</v>
      </c>
      <c r="M1114" s="2">
        <v>1</v>
      </c>
      <c r="N1114" s="2">
        <v>20</v>
      </c>
      <c r="O1114" s="2">
        <v>195</v>
      </c>
      <c r="P1114" s="2">
        <v>817</v>
      </c>
      <c r="Q1114" s="2">
        <f t="shared" si="92"/>
        <v>216</v>
      </c>
      <c r="R1114" s="2">
        <f t="shared" si="90"/>
        <v>1033</v>
      </c>
      <c r="S1114" t="str">
        <f t="shared" si="89"/>
        <v>Sedentary</v>
      </c>
      <c r="T1114" s="2">
        <v>2419</v>
      </c>
    </row>
    <row r="1115" spans="1:20" x14ac:dyDescent="0.25">
      <c r="A1115" s="2">
        <v>8792009665</v>
      </c>
      <c r="B1115" s="3">
        <v>42483</v>
      </c>
      <c r="C1115" t="str">
        <f t="shared" si="91"/>
        <v>Saturday</v>
      </c>
      <c r="D1115" t="str">
        <f t="shared" si="88"/>
        <v>Weekend</v>
      </c>
      <c r="E1115" s="2">
        <v>5245</v>
      </c>
      <c r="F1115" s="2">
        <v>3.3599998950000001</v>
      </c>
      <c r="G1115" s="2">
        <v>3.3599998950000001</v>
      </c>
      <c r="H1115" s="2">
        <v>0</v>
      </c>
      <c r="I1115" s="2">
        <v>0.15999999600000001</v>
      </c>
      <c r="J1115" s="2">
        <v>0.439999998</v>
      </c>
      <c r="K1115" s="2">
        <v>2.75</v>
      </c>
      <c r="L1115" s="2">
        <v>0</v>
      </c>
      <c r="M1115" s="2">
        <v>8</v>
      </c>
      <c r="N1115" s="2">
        <v>45</v>
      </c>
      <c r="O1115" s="2">
        <v>232</v>
      </c>
      <c r="P1115" s="2">
        <v>795</v>
      </c>
      <c r="Q1115" s="2">
        <f t="shared" si="92"/>
        <v>285</v>
      </c>
      <c r="R1115" s="2">
        <f t="shared" si="90"/>
        <v>1080</v>
      </c>
      <c r="S1115" t="str">
        <f t="shared" si="89"/>
        <v>Lightly Active</v>
      </c>
      <c r="T1115" s="2">
        <v>2748</v>
      </c>
    </row>
    <row r="1116" spans="1:20" x14ac:dyDescent="0.25">
      <c r="A1116" s="2">
        <v>8792009665</v>
      </c>
      <c r="B1116" s="3">
        <v>42484</v>
      </c>
      <c r="C1116" t="str">
        <f t="shared" si="91"/>
        <v>Sunday</v>
      </c>
      <c r="D1116" t="str">
        <f t="shared" si="88"/>
        <v>Weekend</v>
      </c>
      <c r="E1116" s="2">
        <v>400</v>
      </c>
      <c r="F1116" s="2">
        <v>0.25999999000000001</v>
      </c>
      <c r="G1116" s="2">
        <v>0.25999999000000001</v>
      </c>
      <c r="H1116" s="2">
        <v>0</v>
      </c>
      <c r="I1116" s="2">
        <v>3.9999999000000001E-2</v>
      </c>
      <c r="J1116" s="2">
        <v>5.0000001000000002E-2</v>
      </c>
      <c r="K1116" s="2">
        <v>0.15999999600000001</v>
      </c>
      <c r="L1116" s="2">
        <v>0</v>
      </c>
      <c r="M1116" s="2">
        <v>3</v>
      </c>
      <c r="N1116" s="2">
        <v>8</v>
      </c>
      <c r="O1116" s="2">
        <v>19</v>
      </c>
      <c r="P1116" s="2">
        <v>1410</v>
      </c>
      <c r="Q1116" s="2">
        <f t="shared" si="92"/>
        <v>30</v>
      </c>
      <c r="R1116" s="2">
        <f t="shared" si="90"/>
        <v>1440</v>
      </c>
      <c r="S1116" t="str">
        <f t="shared" si="89"/>
        <v>Sedentary</v>
      </c>
      <c r="T1116" s="2">
        <v>1799</v>
      </c>
    </row>
    <row r="1117" spans="1:20" x14ac:dyDescent="0.25">
      <c r="A1117" s="2">
        <v>8792009665</v>
      </c>
      <c r="B1117" s="3">
        <v>42486</v>
      </c>
      <c r="C1117" t="str">
        <f t="shared" si="91"/>
        <v>Tuesday</v>
      </c>
      <c r="D1117" t="str">
        <f t="shared" si="88"/>
        <v>Weekday</v>
      </c>
      <c r="E1117" s="2">
        <v>1321</v>
      </c>
      <c r="F1117" s="2">
        <v>0.85000002399999997</v>
      </c>
      <c r="G1117" s="2">
        <v>0.85000002399999997</v>
      </c>
      <c r="H1117" s="2">
        <v>0</v>
      </c>
      <c r="I1117" s="2">
        <v>0</v>
      </c>
      <c r="J1117" s="2">
        <v>0</v>
      </c>
      <c r="K1117" s="2">
        <v>0.85000002399999997</v>
      </c>
      <c r="L1117" s="2">
        <v>0</v>
      </c>
      <c r="M1117" s="2">
        <v>0</v>
      </c>
      <c r="N1117" s="2">
        <v>0</v>
      </c>
      <c r="O1117" s="2">
        <v>80</v>
      </c>
      <c r="P1117" s="2">
        <v>1360</v>
      </c>
      <c r="Q1117" s="2">
        <f t="shared" si="92"/>
        <v>80</v>
      </c>
      <c r="R1117" s="2">
        <f t="shared" si="90"/>
        <v>1440</v>
      </c>
      <c r="S1117" t="str">
        <f t="shared" si="89"/>
        <v>Sedentary</v>
      </c>
      <c r="T1117" s="2">
        <v>1928</v>
      </c>
    </row>
    <row r="1118" spans="1:20" x14ac:dyDescent="0.25">
      <c r="A1118" s="2">
        <v>8792009665</v>
      </c>
      <c r="B1118" s="3">
        <v>42487</v>
      </c>
      <c r="C1118" t="str">
        <f t="shared" si="91"/>
        <v>Wednesday</v>
      </c>
      <c r="D1118" t="str">
        <f t="shared" si="88"/>
        <v>Weekday</v>
      </c>
      <c r="E1118" s="2">
        <v>1758</v>
      </c>
      <c r="F1118" s="2">
        <v>1.1299999949999999</v>
      </c>
      <c r="G1118" s="2">
        <v>1.1299999949999999</v>
      </c>
      <c r="H1118" s="2">
        <v>0</v>
      </c>
      <c r="I1118" s="2">
        <v>0</v>
      </c>
      <c r="J1118" s="2">
        <v>0</v>
      </c>
      <c r="K1118" s="2">
        <v>1.1299999949999999</v>
      </c>
      <c r="L1118" s="2">
        <v>0</v>
      </c>
      <c r="M1118" s="2">
        <v>0</v>
      </c>
      <c r="N1118" s="2">
        <v>0</v>
      </c>
      <c r="O1118" s="2">
        <v>112</v>
      </c>
      <c r="P1118" s="2">
        <v>900</v>
      </c>
      <c r="Q1118" s="2">
        <f t="shared" si="92"/>
        <v>112</v>
      </c>
      <c r="R1118" s="2">
        <f t="shared" si="90"/>
        <v>1012</v>
      </c>
      <c r="S1118" t="str">
        <f t="shared" si="89"/>
        <v>Sedentary</v>
      </c>
      <c r="T1118" s="2">
        <v>2067</v>
      </c>
    </row>
    <row r="1119" spans="1:20" x14ac:dyDescent="0.25">
      <c r="A1119" s="2">
        <v>8792009665</v>
      </c>
      <c r="B1119" s="3">
        <v>42488</v>
      </c>
      <c r="C1119" t="str">
        <f t="shared" si="91"/>
        <v>Thursday</v>
      </c>
      <c r="D1119" t="str">
        <f t="shared" si="88"/>
        <v>Weekday</v>
      </c>
      <c r="E1119" s="2">
        <v>6157</v>
      </c>
      <c r="F1119" s="2">
        <v>3.9400000569999998</v>
      </c>
      <c r="G1119" s="2">
        <v>3.9400000569999998</v>
      </c>
      <c r="H1119" s="2">
        <v>0</v>
      </c>
      <c r="I1119" s="2">
        <v>0</v>
      </c>
      <c r="J1119" s="2">
        <v>0</v>
      </c>
      <c r="K1119" s="2">
        <v>3.9400000569999998</v>
      </c>
      <c r="L1119" s="2">
        <v>0</v>
      </c>
      <c r="M1119" s="2">
        <v>0</v>
      </c>
      <c r="N1119" s="2">
        <v>0</v>
      </c>
      <c r="O1119" s="2">
        <v>310</v>
      </c>
      <c r="P1119" s="2">
        <v>714</v>
      </c>
      <c r="Q1119" s="2">
        <f t="shared" si="92"/>
        <v>310</v>
      </c>
      <c r="R1119" s="2">
        <f t="shared" si="90"/>
        <v>1024</v>
      </c>
      <c r="S1119" t="str">
        <f t="shared" si="89"/>
        <v>Lightly Active</v>
      </c>
      <c r="T1119" s="2">
        <v>2780</v>
      </c>
    </row>
    <row r="1120" spans="1:20" x14ac:dyDescent="0.25">
      <c r="A1120" s="2">
        <v>8792009665</v>
      </c>
      <c r="B1120" s="3">
        <v>42489</v>
      </c>
      <c r="C1120" t="str">
        <f t="shared" si="91"/>
        <v>Friday</v>
      </c>
      <c r="D1120" t="str">
        <f t="shared" si="88"/>
        <v>Weekday</v>
      </c>
      <c r="E1120" s="2">
        <v>8360</v>
      </c>
      <c r="F1120" s="2">
        <v>5.3499999049999998</v>
      </c>
      <c r="G1120" s="2">
        <v>5.3499999049999998</v>
      </c>
      <c r="H1120" s="2">
        <v>0</v>
      </c>
      <c r="I1120" s="2">
        <v>0.14000000100000001</v>
      </c>
      <c r="J1120" s="2">
        <v>0.280000001</v>
      </c>
      <c r="K1120" s="2">
        <v>4.9299998279999997</v>
      </c>
      <c r="L1120" s="2">
        <v>0</v>
      </c>
      <c r="M1120" s="2">
        <v>6</v>
      </c>
      <c r="N1120" s="2">
        <v>14</v>
      </c>
      <c r="O1120" s="2">
        <v>380</v>
      </c>
      <c r="P1120" s="2">
        <v>634</v>
      </c>
      <c r="Q1120" s="2">
        <f t="shared" si="92"/>
        <v>400</v>
      </c>
      <c r="R1120" s="2">
        <f t="shared" si="90"/>
        <v>1034</v>
      </c>
      <c r="S1120" t="str">
        <f t="shared" si="89"/>
        <v>Fairly Active</v>
      </c>
      <c r="T1120" s="2">
        <v>3101</v>
      </c>
    </row>
    <row r="1121" spans="1:20" x14ac:dyDescent="0.25">
      <c r="A1121" s="2">
        <v>8792009665</v>
      </c>
      <c r="B1121" s="3">
        <v>42490</v>
      </c>
      <c r="C1121" t="str">
        <f t="shared" si="91"/>
        <v>Saturday</v>
      </c>
      <c r="D1121" t="str">
        <f t="shared" si="88"/>
        <v>Weekend</v>
      </c>
      <c r="E1121" s="2">
        <v>7174</v>
      </c>
      <c r="F1121" s="2">
        <v>4.5900001530000001</v>
      </c>
      <c r="G1121" s="2">
        <v>4.5900001530000001</v>
      </c>
      <c r="H1121" s="2">
        <v>0</v>
      </c>
      <c r="I1121" s="2">
        <v>0.33000001299999998</v>
      </c>
      <c r="J1121" s="2">
        <v>0.36000001399999998</v>
      </c>
      <c r="K1121" s="2">
        <v>3.9100000860000002</v>
      </c>
      <c r="L1121" s="2">
        <v>0</v>
      </c>
      <c r="M1121" s="2">
        <v>10</v>
      </c>
      <c r="N1121" s="2">
        <v>20</v>
      </c>
      <c r="O1121" s="2">
        <v>301</v>
      </c>
      <c r="P1121" s="2">
        <v>749</v>
      </c>
      <c r="Q1121" s="2">
        <f t="shared" si="92"/>
        <v>331</v>
      </c>
      <c r="R1121" s="2">
        <f t="shared" si="90"/>
        <v>1080</v>
      </c>
      <c r="S1121" t="str">
        <f t="shared" si="89"/>
        <v>Lightly Active</v>
      </c>
      <c r="T1121" s="2">
        <v>2896</v>
      </c>
    </row>
    <row r="1122" spans="1:20" x14ac:dyDescent="0.25">
      <c r="A1122" s="2">
        <v>8792009665</v>
      </c>
      <c r="B1122" s="3">
        <v>42491</v>
      </c>
      <c r="C1122" t="str">
        <f t="shared" si="91"/>
        <v>Sunday</v>
      </c>
      <c r="D1122" t="str">
        <f t="shared" si="88"/>
        <v>Weekend</v>
      </c>
      <c r="E1122" s="2">
        <v>1619</v>
      </c>
      <c r="F1122" s="2">
        <v>1.039999962</v>
      </c>
      <c r="G1122" s="2">
        <v>1.039999962</v>
      </c>
      <c r="H1122" s="2">
        <v>0</v>
      </c>
      <c r="I1122" s="2">
        <v>0</v>
      </c>
      <c r="J1122" s="2">
        <v>0</v>
      </c>
      <c r="K1122" s="2">
        <v>1.039999962</v>
      </c>
      <c r="L1122" s="2">
        <v>0</v>
      </c>
      <c r="M1122" s="2">
        <v>0</v>
      </c>
      <c r="N1122" s="2">
        <v>0</v>
      </c>
      <c r="O1122" s="2">
        <v>79</v>
      </c>
      <c r="P1122" s="2">
        <v>834</v>
      </c>
      <c r="Q1122" s="2">
        <f t="shared" si="92"/>
        <v>79</v>
      </c>
      <c r="R1122" s="2">
        <f t="shared" si="90"/>
        <v>913</v>
      </c>
      <c r="S1122" t="str">
        <f t="shared" si="89"/>
        <v>Sedentary</v>
      </c>
      <c r="T1122" s="2">
        <v>1962</v>
      </c>
    </row>
    <row r="1123" spans="1:20" x14ac:dyDescent="0.25">
      <c r="A1123" s="2">
        <v>8792009665</v>
      </c>
      <c r="B1123" s="3">
        <v>42492</v>
      </c>
      <c r="C1123" t="str">
        <f t="shared" si="91"/>
        <v>Monday</v>
      </c>
      <c r="D1123" t="str">
        <f t="shared" si="88"/>
        <v>Weekday</v>
      </c>
      <c r="E1123" s="2">
        <v>1831</v>
      </c>
      <c r="F1123" s="2">
        <v>1.1699999569999999</v>
      </c>
      <c r="G1123" s="2">
        <v>1.1699999569999999</v>
      </c>
      <c r="H1123" s="2">
        <v>0</v>
      </c>
      <c r="I1123" s="2">
        <v>0</v>
      </c>
      <c r="J1123" s="2">
        <v>0</v>
      </c>
      <c r="K1123" s="2">
        <v>1.1699999569999999</v>
      </c>
      <c r="L1123" s="2">
        <v>0</v>
      </c>
      <c r="M1123" s="2">
        <v>0</v>
      </c>
      <c r="N1123" s="2">
        <v>0</v>
      </c>
      <c r="O1123" s="2">
        <v>101</v>
      </c>
      <c r="P1123" s="2">
        <v>916</v>
      </c>
      <c r="Q1123" s="2">
        <f t="shared" si="92"/>
        <v>101</v>
      </c>
      <c r="R1123" s="2">
        <f t="shared" si="90"/>
        <v>1017</v>
      </c>
      <c r="S1123" t="str">
        <f t="shared" si="89"/>
        <v>Sedentary</v>
      </c>
      <c r="T1123" s="2">
        <v>2015</v>
      </c>
    </row>
    <row r="1124" spans="1:20" x14ac:dyDescent="0.25">
      <c r="A1124" s="2">
        <v>8792009665</v>
      </c>
      <c r="B1124" s="3">
        <v>42493</v>
      </c>
      <c r="C1124" t="str">
        <f t="shared" si="91"/>
        <v>Tuesday</v>
      </c>
      <c r="D1124" t="str">
        <f t="shared" si="88"/>
        <v>Weekday</v>
      </c>
      <c r="E1124" s="2">
        <v>2421</v>
      </c>
      <c r="F1124" s="2">
        <v>1.5499999520000001</v>
      </c>
      <c r="G1124" s="2">
        <v>1.5499999520000001</v>
      </c>
      <c r="H1124" s="2">
        <v>0</v>
      </c>
      <c r="I1124" s="2">
        <v>0</v>
      </c>
      <c r="J1124" s="2">
        <v>0</v>
      </c>
      <c r="K1124" s="2">
        <v>1.5499999520000001</v>
      </c>
      <c r="L1124" s="2">
        <v>0</v>
      </c>
      <c r="M1124" s="2">
        <v>0</v>
      </c>
      <c r="N1124" s="2">
        <v>0</v>
      </c>
      <c r="O1124" s="2">
        <v>156</v>
      </c>
      <c r="P1124" s="2">
        <v>739</v>
      </c>
      <c r="Q1124" s="2">
        <f t="shared" si="92"/>
        <v>156</v>
      </c>
      <c r="R1124" s="2">
        <f t="shared" si="90"/>
        <v>895</v>
      </c>
      <c r="S1124" t="str">
        <f t="shared" si="89"/>
        <v>Sedentary</v>
      </c>
      <c r="T1124" s="2">
        <v>2297</v>
      </c>
    </row>
    <row r="1125" spans="1:20" x14ac:dyDescent="0.25">
      <c r="A1125" s="2">
        <v>8792009665</v>
      </c>
      <c r="B1125" s="3">
        <v>42494</v>
      </c>
      <c r="C1125" t="str">
        <f t="shared" si="91"/>
        <v>Wednesday</v>
      </c>
      <c r="D1125" t="str">
        <f t="shared" si="88"/>
        <v>Weekday</v>
      </c>
      <c r="E1125" s="2">
        <v>2283</v>
      </c>
      <c r="F1125" s="2">
        <v>1.460000038</v>
      </c>
      <c r="G1125" s="2">
        <v>1.460000038</v>
      </c>
      <c r="H1125" s="2">
        <v>0</v>
      </c>
      <c r="I1125" s="2">
        <v>0</v>
      </c>
      <c r="J1125" s="2">
        <v>0</v>
      </c>
      <c r="K1125" s="2">
        <v>1.460000038</v>
      </c>
      <c r="L1125" s="2">
        <v>0</v>
      </c>
      <c r="M1125" s="2">
        <v>0</v>
      </c>
      <c r="N1125" s="2">
        <v>0</v>
      </c>
      <c r="O1125" s="2">
        <v>129</v>
      </c>
      <c r="P1125" s="2">
        <v>848</v>
      </c>
      <c r="Q1125" s="2">
        <f t="shared" si="92"/>
        <v>129</v>
      </c>
      <c r="R1125" s="2">
        <f t="shared" si="90"/>
        <v>977</v>
      </c>
      <c r="S1125" t="str">
        <f t="shared" si="89"/>
        <v>Sedentary</v>
      </c>
      <c r="T1125" s="2">
        <v>2067</v>
      </c>
    </row>
    <row r="1126" spans="1:20" x14ac:dyDescent="0.25">
      <c r="A1126" s="2">
        <v>8877689391</v>
      </c>
      <c r="B1126" s="3">
        <v>42461</v>
      </c>
      <c r="C1126" t="str">
        <f t="shared" si="91"/>
        <v>Friday</v>
      </c>
      <c r="D1126" t="str">
        <f t="shared" si="88"/>
        <v>Weekday</v>
      </c>
      <c r="E1126" s="2">
        <v>18700</v>
      </c>
      <c r="F1126" s="2">
        <v>15.81999969</v>
      </c>
      <c r="G1126" s="2">
        <v>15.81999969</v>
      </c>
      <c r="H1126" s="2">
        <v>0</v>
      </c>
      <c r="I1126" s="2">
        <v>8.6999998089999995</v>
      </c>
      <c r="J1126" s="2">
        <v>0.15999999600000001</v>
      </c>
      <c r="K1126" s="2">
        <v>6.9099998469999999</v>
      </c>
      <c r="L1126" s="2">
        <v>0</v>
      </c>
      <c r="M1126" s="2">
        <v>67</v>
      </c>
      <c r="N1126" s="2">
        <v>3</v>
      </c>
      <c r="O1126" s="2">
        <v>247</v>
      </c>
      <c r="P1126" s="2">
        <v>1123</v>
      </c>
      <c r="Q1126" s="2">
        <f t="shared" si="92"/>
        <v>317</v>
      </c>
      <c r="R1126" s="2">
        <f t="shared" si="90"/>
        <v>1440</v>
      </c>
      <c r="S1126" t="str">
        <f t="shared" si="89"/>
        <v>Highly Active</v>
      </c>
      <c r="T1126" s="2">
        <v>3527</v>
      </c>
    </row>
    <row r="1127" spans="1:20" x14ac:dyDescent="0.25">
      <c r="A1127" s="2">
        <v>8877689391</v>
      </c>
      <c r="B1127" s="3">
        <v>42462</v>
      </c>
      <c r="C1127" t="str">
        <f t="shared" si="91"/>
        <v>Saturday</v>
      </c>
      <c r="D1127" t="str">
        <f t="shared" si="88"/>
        <v>Weekend</v>
      </c>
      <c r="E1127" s="2">
        <v>27572</v>
      </c>
      <c r="F1127" s="2">
        <v>23.38999939</v>
      </c>
      <c r="G1127" s="2">
        <v>23.38999939</v>
      </c>
      <c r="H1127" s="2">
        <v>0</v>
      </c>
      <c r="I1127" s="2">
        <v>14.72000027</v>
      </c>
      <c r="J1127" s="2">
        <v>1.210000038</v>
      </c>
      <c r="K1127" s="2">
        <v>7.3400001530000001</v>
      </c>
      <c r="L1127" s="2">
        <v>0.01</v>
      </c>
      <c r="M1127" s="2">
        <v>116</v>
      </c>
      <c r="N1127" s="2">
        <v>24</v>
      </c>
      <c r="O1127" s="2">
        <v>260</v>
      </c>
      <c r="P1127" s="2">
        <v>1040</v>
      </c>
      <c r="Q1127" s="2">
        <f t="shared" si="92"/>
        <v>400</v>
      </c>
      <c r="R1127" s="2">
        <f t="shared" si="90"/>
        <v>1440</v>
      </c>
      <c r="S1127" t="str">
        <f t="shared" si="89"/>
        <v>Highly Active</v>
      </c>
      <c r="T1127" s="2">
        <v>4220</v>
      </c>
    </row>
    <row r="1128" spans="1:20" x14ac:dyDescent="0.25">
      <c r="A1128" s="2">
        <v>8877689391</v>
      </c>
      <c r="B1128" s="3">
        <v>42463</v>
      </c>
      <c r="C1128" t="str">
        <f t="shared" si="91"/>
        <v>Sunday</v>
      </c>
      <c r="D1128" t="str">
        <f t="shared" si="88"/>
        <v>Weekend</v>
      </c>
      <c r="E1128" s="2">
        <v>15260</v>
      </c>
      <c r="F1128" s="2">
        <v>8.1899995800000003</v>
      </c>
      <c r="G1128" s="2">
        <v>8.1899995800000003</v>
      </c>
      <c r="H1128" s="2">
        <v>0</v>
      </c>
      <c r="I1128" s="2">
        <v>1.7999999520000001</v>
      </c>
      <c r="J1128" s="2">
        <v>0.75</v>
      </c>
      <c r="K1128" s="2">
        <v>5.5700001720000003</v>
      </c>
      <c r="L1128" s="2">
        <v>0</v>
      </c>
      <c r="M1128" s="2">
        <v>106</v>
      </c>
      <c r="N1128" s="2">
        <v>17</v>
      </c>
      <c r="O1128" s="2">
        <v>259</v>
      </c>
      <c r="P1128" s="2">
        <v>1058</v>
      </c>
      <c r="Q1128" s="2">
        <f t="shared" si="92"/>
        <v>382</v>
      </c>
      <c r="R1128" s="2">
        <f t="shared" si="90"/>
        <v>1440</v>
      </c>
      <c r="S1128" t="str">
        <f t="shared" si="89"/>
        <v>Highly Active</v>
      </c>
      <c r="T1128" s="2">
        <v>3864</v>
      </c>
    </row>
    <row r="1129" spans="1:20" x14ac:dyDescent="0.25">
      <c r="A1129" s="2">
        <v>8877689391</v>
      </c>
      <c r="B1129" s="3">
        <v>42464</v>
      </c>
      <c r="C1129" t="str">
        <f t="shared" si="91"/>
        <v>Monday</v>
      </c>
      <c r="D1129" t="str">
        <f t="shared" si="88"/>
        <v>Weekday</v>
      </c>
      <c r="E1129" s="2">
        <v>20779</v>
      </c>
      <c r="F1129" s="2">
        <v>18.409999849999998</v>
      </c>
      <c r="G1129" s="2">
        <v>18.409999849999998</v>
      </c>
      <c r="H1129" s="2">
        <v>0</v>
      </c>
      <c r="I1129" s="2">
        <v>11.72999954</v>
      </c>
      <c r="J1129" s="2">
        <v>0.64999997600000003</v>
      </c>
      <c r="K1129" s="2">
        <v>6</v>
      </c>
      <c r="L1129" s="2">
        <v>0</v>
      </c>
      <c r="M1129" s="2">
        <v>78</v>
      </c>
      <c r="N1129" s="2">
        <v>16</v>
      </c>
      <c r="O1129" s="2">
        <v>208</v>
      </c>
      <c r="P1129" s="2">
        <v>1138</v>
      </c>
      <c r="Q1129" s="2">
        <f t="shared" si="92"/>
        <v>302</v>
      </c>
      <c r="R1129" s="2">
        <f t="shared" si="90"/>
        <v>1440</v>
      </c>
      <c r="S1129" t="str">
        <f t="shared" si="89"/>
        <v>Highly Active</v>
      </c>
      <c r="T1129" s="2">
        <v>3662</v>
      </c>
    </row>
    <row r="1130" spans="1:20" x14ac:dyDescent="0.25">
      <c r="A1130" s="2">
        <v>8877689391</v>
      </c>
      <c r="B1130" s="3">
        <v>42465</v>
      </c>
      <c r="C1130" t="str">
        <f t="shared" si="91"/>
        <v>Tuesday</v>
      </c>
      <c r="D1130" t="str">
        <f t="shared" si="88"/>
        <v>Weekday</v>
      </c>
      <c r="E1130" s="2">
        <v>10695</v>
      </c>
      <c r="F1130" s="2">
        <v>8.1199998860000004</v>
      </c>
      <c r="G1130" s="2">
        <v>8.1199998860000004</v>
      </c>
      <c r="H1130" s="2">
        <v>0</v>
      </c>
      <c r="I1130" s="2">
        <v>0.769999981</v>
      </c>
      <c r="J1130" s="2">
        <v>0.18000000699999999</v>
      </c>
      <c r="K1130" s="2">
        <v>7.0900001530000001</v>
      </c>
      <c r="L1130" s="2">
        <v>0.01</v>
      </c>
      <c r="M1130" s="2">
        <v>10</v>
      </c>
      <c r="N1130" s="2">
        <v>3</v>
      </c>
      <c r="O1130" s="2">
        <v>246</v>
      </c>
      <c r="P1130" s="2">
        <v>1181</v>
      </c>
      <c r="Q1130" s="2">
        <f t="shared" si="92"/>
        <v>259</v>
      </c>
      <c r="R1130" s="2">
        <f t="shared" si="90"/>
        <v>1440</v>
      </c>
      <c r="S1130" t="str">
        <f t="shared" si="89"/>
        <v>Highly Active</v>
      </c>
      <c r="T1130" s="2">
        <v>2834</v>
      </c>
    </row>
    <row r="1131" spans="1:20" x14ac:dyDescent="0.25">
      <c r="A1131" s="2">
        <v>8877689391</v>
      </c>
      <c r="B1131" s="3">
        <v>42466</v>
      </c>
      <c r="C1131" t="str">
        <f t="shared" si="91"/>
        <v>Wednesday</v>
      </c>
      <c r="D1131" t="str">
        <f t="shared" si="88"/>
        <v>Weekday</v>
      </c>
      <c r="E1131" s="2">
        <v>24136</v>
      </c>
      <c r="F1131" s="2">
        <v>20.909999849999998</v>
      </c>
      <c r="G1131" s="2">
        <v>20.909999849999998</v>
      </c>
      <c r="H1131" s="2">
        <v>0</v>
      </c>
      <c r="I1131" s="2">
        <v>12.22000027</v>
      </c>
      <c r="J1131" s="2">
        <v>0.540000021</v>
      </c>
      <c r="K1131" s="2">
        <v>8.0799999239999991</v>
      </c>
      <c r="L1131" s="2">
        <v>0</v>
      </c>
      <c r="M1131" s="2">
        <v>87</v>
      </c>
      <c r="N1131" s="2">
        <v>16</v>
      </c>
      <c r="O1131" s="2">
        <v>318</v>
      </c>
      <c r="P1131" s="2">
        <v>1019</v>
      </c>
      <c r="Q1131" s="2">
        <f t="shared" si="92"/>
        <v>421</v>
      </c>
      <c r="R1131" s="2">
        <f t="shared" si="90"/>
        <v>1440</v>
      </c>
      <c r="S1131" t="str">
        <f t="shared" si="89"/>
        <v>Highly Active</v>
      </c>
      <c r="T1131" s="2">
        <v>4039</v>
      </c>
    </row>
    <row r="1132" spans="1:20" x14ac:dyDescent="0.25">
      <c r="A1132" s="2">
        <v>8877689391</v>
      </c>
      <c r="B1132" s="3">
        <v>42467</v>
      </c>
      <c r="C1132" t="str">
        <f t="shared" si="91"/>
        <v>Thursday</v>
      </c>
      <c r="D1132" t="str">
        <f t="shared" si="88"/>
        <v>Weekday</v>
      </c>
      <c r="E1132" s="2">
        <v>10910</v>
      </c>
      <c r="F1132" s="2">
        <v>8.4200000760000009</v>
      </c>
      <c r="G1132" s="2">
        <v>8.4200000760000009</v>
      </c>
      <c r="H1132" s="2">
        <v>0</v>
      </c>
      <c r="I1132" s="2">
        <v>2.960000038</v>
      </c>
      <c r="J1132" s="2">
        <v>0.38999998600000002</v>
      </c>
      <c r="K1132" s="2">
        <v>5.0300002099999999</v>
      </c>
      <c r="L1132" s="2">
        <v>0</v>
      </c>
      <c r="M1132" s="2">
        <v>32</v>
      </c>
      <c r="N1132" s="2">
        <v>11</v>
      </c>
      <c r="O1132" s="2">
        <v>212</v>
      </c>
      <c r="P1132" s="2">
        <v>1185</v>
      </c>
      <c r="Q1132" s="2">
        <f t="shared" si="92"/>
        <v>255</v>
      </c>
      <c r="R1132" s="2">
        <f t="shared" si="90"/>
        <v>1440</v>
      </c>
      <c r="S1132" t="str">
        <f t="shared" si="89"/>
        <v>Highly Active</v>
      </c>
      <c r="T1132" s="2">
        <v>2947</v>
      </c>
    </row>
    <row r="1133" spans="1:20" x14ac:dyDescent="0.25">
      <c r="A1133" s="2">
        <v>8877689391</v>
      </c>
      <c r="B1133" s="3">
        <v>42468</v>
      </c>
      <c r="C1133" t="str">
        <f t="shared" si="91"/>
        <v>Friday</v>
      </c>
      <c r="D1133" t="str">
        <f t="shared" si="88"/>
        <v>Weekday</v>
      </c>
      <c r="E1133" s="2">
        <v>23014</v>
      </c>
      <c r="F1133" s="2">
        <v>20.38999939</v>
      </c>
      <c r="G1133" s="2">
        <v>20.38999939</v>
      </c>
      <c r="H1133" s="2">
        <v>0</v>
      </c>
      <c r="I1133" s="2">
        <v>11.100000380000001</v>
      </c>
      <c r="J1133" s="2">
        <v>0.62999999500000003</v>
      </c>
      <c r="K1133" s="2">
        <v>8.6199998860000004</v>
      </c>
      <c r="L1133" s="2">
        <v>0</v>
      </c>
      <c r="M1133" s="2">
        <v>70</v>
      </c>
      <c r="N1133" s="2">
        <v>29</v>
      </c>
      <c r="O1133" s="2">
        <v>359</v>
      </c>
      <c r="P1133" s="2">
        <v>982</v>
      </c>
      <c r="Q1133" s="2">
        <f t="shared" si="92"/>
        <v>458</v>
      </c>
      <c r="R1133" s="2">
        <f t="shared" si="90"/>
        <v>1440</v>
      </c>
      <c r="S1133" t="str">
        <f t="shared" si="89"/>
        <v>Highly Active</v>
      </c>
      <c r="T1133" s="2">
        <v>4196</v>
      </c>
    </row>
    <row r="1134" spans="1:20" x14ac:dyDescent="0.25">
      <c r="A1134" s="2">
        <v>8877689391</v>
      </c>
      <c r="B1134" s="3">
        <v>42469</v>
      </c>
      <c r="C1134" t="str">
        <f t="shared" si="91"/>
        <v>Saturday</v>
      </c>
      <c r="D1134" t="str">
        <f t="shared" si="88"/>
        <v>Weekend</v>
      </c>
      <c r="E1134" s="2">
        <v>16470</v>
      </c>
      <c r="F1134" s="2">
        <v>8.0699996949999999</v>
      </c>
      <c r="G1134" s="2">
        <v>8.0699996949999999</v>
      </c>
      <c r="H1134" s="2">
        <v>0</v>
      </c>
      <c r="I1134" s="2">
        <v>0</v>
      </c>
      <c r="J1134" s="2">
        <v>0.02</v>
      </c>
      <c r="K1134" s="2">
        <v>8.0200004580000002</v>
      </c>
      <c r="L1134" s="2">
        <v>0</v>
      </c>
      <c r="M1134" s="2">
        <v>90</v>
      </c>
      <c r="N1134" s="2">
        <v>9</v>
      </c>
      <c r="O1134" s="2">
        <v>289</v>
      </c>
      <c r="P1134" s="2">
        <v>1052</v>
      </c>
      <c r="Q1134" s="2">
        <f t="shared" si="92"/>
        <v>388</v>
      </c>
      <c r="R1134" s="2">
        <f t="shared" si="90"/>
        <v>1440</v>
      </c>
      <c r="S1134" t="str">
        <f t="shared" si="89"/>
        <v>Highly Active</v>
      </c>
      <c r="T1134" s="2">
        <v>3841</v>
      </c>
    </row>
    <row r="1135" spans="1:20" x14ac:dyDescent="0.25">
      <c r="A1135" s="2">
        <v>8877689391</v>
      </c>
      <c r="B1135" s="3">
        <v>42470</v>
      </c>
      <c r="C1135" t="str">
        <f t="shared" si="91"/>
        <v>Sunday</v>
      </c>
      <c r="D1135" t="str">
        <f t="shared" si="88"/>
        <v>Weekend</v>
      </c>
      <c r="E1135" s="2">
        <v>28497</v>
      </c>
      <c r="F1135" s="2">
        <v>27.530000690000001</v>
      </c>
      <c r="G1135" s="2">
        <v>27.530000690000001</v>
      </c>
      <c r="H1135" s="2">
        <v>0</v>
      </c>
      <c r="I1135" s="2">
        <v>21.920000080000001</v>
      </c>
      <c r="J1135" s="2">
        <v>1.1200000050000001</v>
      </c>
      <c r="K1135" s="2">
        <v>4.4600000380000004</v>
      </c>
      <c r="L1135" s="2">
        <v>0</v>
      </c>
      <c r="M1135" s="2">
        <v>128</v>
      </c>
      <c r="N1135" s="2">
        <v>46</v>
      </c>
      <c r="O1135" s="2">
        <v>211</v>
      </c>
      <c r="P1135" s="2">
        <v>1055</v>
      </c>
      <c r="Q1135" s="2">
        <f t="shared" si="92"/>
        <v>385</v>
      </c>
      <c r="R1135" s="2">
        <f t="shared" si="90"/>
        <v>1440</v>
      </c>
      <c r="S1135" t="str">
        <f t="shared" si="89"/>
        <v>Highly Active</v>
      </c>
      <c r="T1135" s="2">
        <v>4526</v>
      </c>
    </row>
    <row r="1136" spans="1:20" x14ac:dyDescent="0.25">
      <c r="A1136" s="2">
        <v>8877689391</v>
      </c>
      <c r="B1136" s="3">
        <v>42471</v>
      </c>
      <c r="C1136" t="str">
        <f t="shared" si="91"/>
        <v>Monday</v>
      </c>
      <c r="D1136" t="str">
        <f t="shared" si="88"/>
        <v>Weekday</v>
      </c>
      <c r="E1136" s="2">
        <v>10622</v>
      </c>
      <c r="F1136" s="2">
        <v>8.0600004199999997</v>
      </c>
      <c r="G1136" s="2">
        <v>8.0600004199999997</v>
      </c>
      <c r="H1136" s="2">
        <v>0</v>
      </c>
      <c r="I1136" s="2">
        <v>1.4700000289999999</v>
      </c>
      <c r="J1136" s="2">
        <v>0.15000000599999999</v>
      </c>
      <c r="K1136" s="2">
        <v>6.3699998860000004</v>
      </c>
      <c r="L1136" s="2">
        <v>0.01</v>
      </c>
      <c r="M1136" s="2">
        <v>18</v>
      </c>
      <c r="N1136" s="2">
        <v>7</v>
      </c>
      <c r="O1136" s="2">
        <v>225</v>
      </c>
      <c r="P1136" s="2">
        <v>1190</v>
      </c>
      <c r="Q1136" s="2">
        <f t="shared" si="92"/>
        <v>250</v>
      </c>
      <c r="R1136" s="2">
        <f t="shared" si="90"/>
        <v>1440</v>
      </c>
      <c r="S1136" t="str">
        <f t="shared" si="89"/>
        <v>Highly Active</v>
      </c>
      <c r="T1136" s="2">
        <v>2820</v>
      </c>
    </row>
    <row r="1137" spans="1:20" x14ac:dyDescent="0.25">
      <c r="A1137" s="2">
        <v>8877689391</v>
      </c>
      <c r="B1137" s="3">
        <v>42473</v>
      </c>
      <c r="C1137" t="str">
        <f t="shared" si="91"/>
        <v>Wednesday</v>
      </c>
      <c r="D1137" t="str">
        <f t="shared" si="88"/>
        <v>Weekday</v>
      </c>
      <c r="E1137" s="2">
        <v>15337</v>
      </c>
      <c r="F1137" s="2">
        <v>9.5799999239999991</v>
      </c>
      <c r="G1137" s="2">
        <v>9.5799999239999991</v>
      </c>
      <c r="H1137" s="2">
        <v>0</v>
      </c>
      <c r="I1137" s="2">
        <v>3.5499999519999998</v>
      </c>
      <c r="J1137" s="2">
        <v>0.37999999499999998</v>
      </c>
      <c r="K1137" s="2">
        <v>5.6399998660000001</v>
      </c>
      <c r="L1137" s="2">
        <v>0</v>
      </c>
      <c r="M1137" s="2">
        <v>108</v>
      </c>
      <c r="N1137" s="2">
        <v>18</v>
      </c>
      <c r="O1137" s="2">
        <v>216</v>
      </c>
      <c r="P1137" s="2">
        <v>1098</v>
      </c>
      <c r="Q1137" s="2">
        <f t="shared" si="92"/>
        <v>342</v>
      </c>
      <c r="R1137" s="2">
        <f t="shared" si="90"/>
        <v>1440</v>
      </c>
      <c r="S1137" t="str">
        <f t="shared" si="89"/>
        <v>Highly Active</v>
      </c>
      <c r="T1137" s="2">
        <v>3566</v>
      </c>
    </row>
    <row r="1138" spans="1:20" x14ac:dyDescent="0.25">
      <c r="A1138" s="2">
        <v>8877689391</v>
      </c>
      <c r="B1138" s="3">
        <v>42474</v>
      </c>
      <c r="C1138" t="str">
        <f t="shared" si="91"/>
        <v>Thursday</v>
      </c>
      <c r="D1138" t="str">
        <f t="shared" si="88"/>
        <v>Weekday</v>
      </c>
      <c r="E1138" s="2">
        <v>21129</v>
      </c>
      <c r="F1138" s="2">
        <v>18.979999540000001</v>
      </c>
      <c r="G1138" s="2">
        <v>18.979999540000001</v>
      </c>
      <c r="H1138" s="2">
        <v>0</v>
      </c>
      <c r="I1138" s="2">
        <v>10.55000019</v>
      </c>
      <c r="J1138" s="2">
        <v>0.58999997400000004</v>
      </c>
      <c r="K1138" s="2">
        <v>7.75</v>
      </c>
      <c r="L1138" s="2">
        <v>0.02</v>
      </c>
      <c r="M1138" s="2">
        <v>68</v>
      </c>
      <c r="N1138" s="2">
        <v>13</v>
      </c>
      <c r="O1138" s="2">
        <v>298</v>
      </c>
      <c r="P1138" s="2">
        <v>1061</v>
      </c>
      <c r="Q1138" s="2">
        <f t="shared" si="92"/>
        <v>379</v>
      </c>
      <c r="R1138" s="2">
        <f t="shared" si="90"/>
        <v>1440</v>
      </c>
      <c r="S1138" t="str">
        <f t="shared" si="89"/>
        <v>Highly Active</v>
      </c>
      <c r="T1138" s="2">
        <v>3793</v>
      </c>
    </row>
    <row r="1139" spans="1:20" x14ac:dyDescent="0.25">
      <c r="A1139" s="2">
        <v>8877689391</v>
      </c>
      <c r="B1139" s="3">
        <v>42475</v>
      </c>
      <c r="C1139" t="str">
        <f t="shared" si="91"/>
        <v>Friday</v>
      </c>
      <c r="D1139" t="str">
        <f t="shared" si="88"/>
        <v>Weekday</v>
      </c>
      <c r="E1139" s="2">
        <v>13422</v>
      </c>
      <c r="F1139" s="2">
        <v>7.170000076</v>
      </c>
      <c r="G1139" s="2">
        <v>7.170000076</v>
      </c>
      <c r="H1139" s="2">
        <v>0</v>
      </c>
      <c r="I1139" s="2">
        <v>5.0000001000000002E-2</v>
      </c>
      <c r="J1139" s="2">
        <v>5.0000001000000002E-2</v>
      </c>
      <c r="K1139" s="2">
        <v>7.0100002290000001</v>
      </c>
      <c r="L1139" s="2">
        <v>0.01</v>
      </c>
      <c r="M1139" s="2">
        <v>106</v>
      </c>
      <c r="N1139" s="2">
        <v>1</v>
      </c>
      <c r="O1139" s="2">
        <v>281</v>
      </c>
      <c r="P1139" s="2">
        <v>1052</v>
      </c>
      <c r="Q1139" s="2">
        <f t="shared" si="92"/>
        <v>388</v>
      </c>
      <c r="R1139" s="2">
        <f t="shared" si="90"/>
        <v>1440</v>
      </c>
      <c r="S1139" t="str">
        <f t="shared" si="89"/>
        <v>Highly Active</v>
      </c>
      <c r="T1139" s="2">
        <v>3934</v>
      </c>
    </row>
    <row r="1140" spans="1:20" x14ac:dyDescent="0.25">
      <c r="A1140" s="2">
        <v>8877689391</v>
      </c>
      <c r="B1140" s="3">
        <v>42476</v>
      </c>
      <c r="C1140" t="str">
        <f t="shared" si="91"/>
        <v>Saturday</v>
      </c>
      <c r="D1140" t="str">
        <f t="shared" si="88"/>
        <v>Weekend</v>
      </c>
      <c r="E1140" s="2">
        <v>29326</v>
      </c>
      <c r="F1140" s="2">
        <v>25.290000920000001</v>
      </c>
      <c r="G1140" s="2">
        <v>25.290000920000001</v>
      </c>
      <c r="H1140" s="2">
        <v>0</v>
      </c>
      <c r="I1140" s="2">
        <v>13.239999770000001</v>
      </c>
      <c r="J1140" s="2">
        <v>1.210000038</v>
      </c>
      <c r="K1140" s="2">
        <v>10.710000040000001</v>
      </c>
      <c r="L1140" s="2">
        <v>0</v>
      </c>
      <c r="M1140" s="2">
        <v>94</v>
      </c>
      <c r="N1140" s="2">
        <v>29</v>
      </c>
      <c r="O1140" s="2">
        <v>429</v>
      </c>
      <c r="P1140" s="2">
        <v>888</v>
      </c>
      <c r="Q1140" s="2">
        <f t="shared" si="92"/>
        <v>552</v>
      </c>
      <c r="R1140" s="2">
        <f t="shared" si="90"/>
        <v>1440</v>
      </c>
      <c r="S1140" t="str">
        <f t="shared" si="89"/>
        <v>Highly Active</v>
      </c>
      <c r="T1140" s="2">
        <v>4547</v>
      </c>
    </row>
    <row r="1141" spans="1:20" x14ac:dyDescent="0.25">
      <c r="A1141" s="2">
        <v>8877689391</v>
      </c>
      <c r="B1141" s="3">
        <v>42477</v>
      </c>
      <c r="C1141" t="str">
        <f t="shared" si="91"/>
        <v>Sunday</v>
      </c>
      <c r="D1141" t="str">
        <f t="shared" si="88"/>
        <v>Weekend</v>
      </c>
      <c r="E1141" s="2">
        <v>15118</v>
      </c>
      <c r="F1141" s="2">
        <v>8.8699998860000004</v>
      </c>
      <c r="G1141" s="2">
        <v>8.8699998860000004</v>
      </c>
      <c r="H1141" s="2">
        <v>0</v>
      </c>
      <c r="I1141" s="2">
        <v>0</v>
      </c>
      <c r="J1141" s="2">
        <v>7.0000000000000007E-2</v>
      </c>
      <c r="K1141" s="2">
        <v>8.7899999619999996</v>
      </c>
      <c r="L1141" s="2">
        <v>0</v>
      </c>
      <c r="M1141" s="2">
        <v>58</v>
      </c>
      <c r="N1141" s="2">
        <v>15</v>
      </c>
      <c r="O1141" s="2">
        <v>307</v>
      </c>
      <c r="P1141" s="2">
        <v>1060</v>
      </c>
      <c r="Q1141" s="2">
        <f t="shared" si="92"/>
        <v>380</v>
      </c>
      <c r="R1141" s="2">
        <f t="shared" si="90"/>
        <v>1440</v>
      </c>
      <c r="S1141" t="str">
        <f t="shared" si="89"/>
        <v>Highly Active</v>
      </c>
      <c r="T1141" s="2">
        <v>3545</v>
      </c>
    </row>
    <row r="1142" spans="1:20" x14ac:dyDescent="0.25">
      <c r="A1142" s="2">
        <v>8877689391</v>
      </c>
      <c r="B1142" s="3">
        <v>42478</v>
      </c>
      <c r="C1142" t="str">
        <f t="shared" si="91"/>
        <v>Monday</v>
      </c>
      <c r="D1142" t="str">
        <f t="shared" si="88"/>
        <v>Weekday</v>
      </c>
      <c r="E1142" s="2">
        <v>11423</v>
      </c>
      <c r="F1142" s="2">
        <v>8.6700000760000009</v>
      </c>
      <c r="G1142" s="2">
        <v>8.6700000760000009</v>
      </c>
      <c r="H1142" s="2">
        <v>0</v>
      </c>
      <c r="I1142" s="2">
        <v>2.4400000569999998</v>
      </c>
      <c r="J1142" s="2">
        <v>0.27000001099999998</v>
      </c>
      <c r="K1142" s="2">
        <v>5.9400000569999998</v>
      </c>
      <c r="L1142" s="2">
        <v>0</v>
      </c>
      <c r="M1142" s="2">
        <v>29</v>
      </c>
      <c r="N1142" s="2">
        <v>5</v>
      </c>
      <c r="O1142" s="2">
        <v>191</v>
      </c>
      <c r="P1142" s="2">
        <v>1215</v>
      </c>
      <c r="Q1142" s="2">
        <f t="shared" si="92"/>
        <v>225</v>
      </c>
      <c r="R1142" s="2">
        <f t="shared" si="90"/>
        <v>1440</v>
      </c>
      <c r="S1142" t="str">
        <f t="shared" si="89"/>
        <v>Highly Active</v>
      </c>
      <c r="T1142" s="2">
        <v>2761</v>
      </c>
    </row>
    <row r="1143" spans="1:20" x14ac:dyDescent="0.25">
      <c r="A1143" s="2">
        <v>8877689391</v>
      </c>
      <c r="B1143" s="3">
        <v>42479</v>
      </c>
      <c r="C1143" t="str">
        <f t="shared" si="91"/>
        <v>Tuesday</v>
      </c>
      <c r="D1143" t="str">
        <f t="shared" si="88"/>
        <v>Weekday</v>
      </c>
      <c r="E1143" s="2">
        <v>18785</v>
      </c>
      <c r="F1143" s="2">
        <v>17.399999619999999</v>
      </c>
      <c r="G1143" s="2">
        <v>17.399999619999999</v>
      </c>
      <c r="H1143" s="2">
        <v>0</v>
      </c>
      <c r="I1143" s="2">
        <v>12.149999619999999</v>
      </c>
      <c r="J1143" s="2">
        <v>0.18000000699999999</v>
      </c>
      <c r="K1143" s="2">
        <v>5.0300002099999999</v>
      </c>
      <c r="L1143" s="2">
        <v>0</v>
      </c>
      <c r="M1143" s="2">
        <v>82</v>
      </c>
      <c r="N1143" s="2">
        <v>13</v>
      </c>
      <c r="O1143" s="2">
        <v>214</v>
      </c>
      <c r="P1143" s="2">
        <v>1131</v>
      </c>
      <c r="Q1143" s="2">
        <f t="shared" si="92"/>
        <v>309</v>
      </c>
      <c r="R1143" s="2">
        <f t="shared" si="90"/>
        <v>1440</v>
      </c>
      <c r="S1143" t="str">
        <f t="shared" si="89"/>
        <v>Highly Active</v>
      </c>
      <c r="T1143" s="2">
        <v>3676</v>
      </c>
    </row>
    <row r="1144" spans="1:20" x14ac:dyDescent="0.25">
      <c r="A1144" s="2">
        <v>8877689391</v>
      </c>
      <c r="B1144" s="3">
        <v>42480</v>
      </c>
      <c r="C1144" t="str">
        <f t="shared" si="91"/>
        <v>Wednesday</v>
      </c>
      <c r="D1144" t="str">
        <f t="shared" si="88"/>
        <v>Weekday</v>
      </c>
      <c r="E1144" s="2">
        <v>19948</v>
      </c>
      <c r="F1144" s="2">
        <v>18.11000061</v>
      </c>
      <c r="G1144" s="2">
        <v>18.11000061</v>
      </c>
      <c r="H1144" s="2">
        <v>0</v>
      </c>
      <c r="I1144" s="2">
        <v>11.02000046</v>
      </c>
      <c r="J1144" s="2">
        <v>0.689999998</v>
      </c>
      <c r="K1144" s="2">
        <v>6.3400001530000001</v>
      </c>
      <c r="L1144" s="2">
        <v>0</v>
      </c>
      <c r="M1144" s="2">
        <v>73</v>
      </c>
      <c r="N1144" s="2">
        <v>19</v>
      </c>
      <c r="O1144" s="2">
        <v>225</v>
      </c>
      <c r="P1144" s="2">
        <v>1123</v>
      </c>
      <c r="Q1144" s="2">
        <f t="shared" si="92"/>
        <v>317</v>
      </c>
      <c r="R1144" s="2">
        <f t="shared" si="90"/>
        <v>1440</v>
      </c>
      <c r="S1144" t="str">
        <f t="shared" si="89"/>
        <v>Highly Active</v>
      </c>
      <c r="T1144" s="2">
        <v>3679</v>
      </c>
    </row>
    <row r="1145" spans="1:20" x14ac:dyDescent="0.25">
      <c r="A1145" s="2">
        <v>8877689391</v>
      </c>
      <c r="B1145" s="3">
        <v>42481</v>
      </c>
      <c r="C1145" t="str">
        <f t="shared" si="91"/>
        <v>Thursday</v>
      </c>
      <c r="D1145" t="str">
        <f t="shared" si="88"/>
        <v>Weekday</v>
      </c>
      <c r="E1145" s="2">
        <v>19377</v>
      </c>
      <c r="F1145" s="2">
        <v>17.620000839999999</v>
      </c>
      <c r="G1145" s="2">
        <v>17.620000839999999</v>
      </c>
      <c r="H1145" s="2">
        <v>0</v>
      </c>
      <c r="I1145" s="2">
        <v>12.289999959999999</v>
      </c>
      <c r="J1145" s="2">
        <v>0.41999998700000002</v>
      </c>
      <c r="K1145" s="2">
        <v>4.8899998660000001</v>
      </c>
      <c r="L1145" s="2">
        <v>0</v>
      </c>
      <c r="M1145" s="2">
        <v>82</v>
      </c>
      <c r="N1145" s="2">
        <v>13</v>
      </c>
      <c r="O1145" s="2">
        <v>226</v>
      </c>
      <c r="P1145" s="2">
        <v>1119</v>
      </c>
      <c r="Q1145" s="2">
        <f t="shared" si="92"/>
        <v>321</v>
      </c>
      <c r="R1145" s="2">
        <f t="shared" si="90"/>
        <v>1440</v>
      </c>
      <c r="S1145" t="str">
        <f t="shared" si="89"/>
        <v>Highly Active</v>
      </c>
      <c r="T1145" s="2">
        <v>3659</v>
      </c>
    </row>
    <row r="1146" spans="1:20" x14ac:dyDescent="0.25">
      <c r="A1146" s="2">
        <v>8877689391</v>
      </c>
      <c r="B1146" s="3">
        <v>42482</v>
      </c>
      <c r="C1146" t="str">
        <f t="shared" si="91"/>
        <v>Friday</v>
      </c>
      <c r="D1146" t="str">
        <f t="shared" si="88"/>
        <v>Weekday</v>
      </c>
      <c r="E1146" s="2">
        <v>18258</v>
      </c>
      <c r="F1146" s="2">
        <v>16.309999470000001</v>
      </c>
      <c r="G1146" s="2">
        <v>16.309999470000001</v>
      </c>
      <c r="H1146" s="2">
        <v>0</v>
      </c>
      <c r="I1146" s="2">
        <v>10.22999954</v>
      </c>
      <c r="J1146" s="2">
        <v>2.9999998999999999E-2</v>
      </c>
      <c r="K1146" s="2">
        <v>5.9699997900000001</v>
      </c>
      <c r="L1146" s="2">
        <v>5.0000001000000002E-2</v>
      </c>
      <c r="M1146" s="2">
        <v>61</v>
      </c>
      <c r="N1146" s="2">
        <v>2</v>
      </c>
      <c r="O1146" s="2">
        <v>236</v>
      </c>
      <c r="P1146" s="2">
        <v>1141</v>
      </c>
      <c r="Q1146" s="2">
        <f t="shared" si="92"/>
        <v>299</v>
      </c>
      <c r="R1146" s="2">
        <f t="shared" si="90"/>
        <v>1440</v>
      </c>
      <c r="S1146" t="str">
        <f t="shared" si="89"/>
        <v>Highly Active</v>
      </c>
      <c r="T1146" s="2">
        <v>3427</v>
      </c>
    </row>
    <row r="1147" spans="1:20" x14ac:dyDescent="0.25">
      <c r="A1147" s="2">
        <v>8877689391</v>
      </c>
      <c r="B1147" s="3">
        <v>42483</v>
      </c>
      <c r="C1147" t="str">
        <f t="shared" si="91"/>
        <v>Saturday</v>
      </c>
      <c r="D1147" t="str">
        <f t="shared" si="88"/>
        <v>Weekend</v>
      </c>
      <c r="E1147" s="2">
        <v>11200</v>
      </c>
      <c r="F1147" s="2">
        <v>7.4299998279999997</v>
      </c>
      <c r="G1147" s="2">
        <v>7.4299998279999997</v>
      </c>
      <c r="H1147" s="2">
        <v>0</v>
      </c>
      <c r="I1147" s="2">
        <v>0</v>
      </c>
      <c r="J1147" s="2">
        <v>0</v>
      </c>
      <c r="K1147" s="2">
        <v>7.4000000950000002</v>
      </c>
      <c r="L1147" s="2">
        <v>0.01</v>
      </c>
      <c r="M1147" s="2">
        <v>102</v>
      </c>
      <c r="N1147" s="2">
        <v>6</v>
      </c>
      <c r="O1147" s="2">
        <v>300</v>
      </c>
      <c r="P1147" s="2">
        <v>1032</v>
      </c>
      <c r="Q1147" s="2">
        <f t="shared" si="92"/>
        <v>408</v>
      </c>
      <c r="R1147" s="2">
        <f t="shared" si="90"/>
        <v>1440</v>
      </c>
      <c r="S1147" t="str">
        <f t="shared" si="89"/>
        <v>Highly Active</v>
      </c>
      <c r="T1147" s="2">
        <v>3891</v>
      </c>
    </row>
    <row r="1148" spans="1:20" x14ac:dyDescent="0.25">
      <c r="A1148" s="2">
        <v>8877689391</v>
      </c>
      <c r="B1148" s="3">
        <v>42484</v>
      </c>
      <c r="C1148" t="str">
        <f t="shared" si="91"/>
        <v>Sunday</v>
      </c>
      <c r="D1148" t="str">
        <f t="shared" si="88"/>
        <v>Weekend</v>
      </c>
      <c r="E1148" s="2">
        <v>16674</v>
      </c>
      <c r="F1148" s="2">
        <v>15.739999770000001</v>
      </c>
      <c r="G1148" s="2">
        <v>15.739999770000001</v>
      </c>
      <c r="H1148" s="2">
        <v>0</v>
      </c>
      <c r="I1148" s="2">
        <v>11.010000229999999</v>
      </c>
      <c r="J1148" s="2">
        <v>0.01</v>
      </c>
      <c r="K1148" s="2">
        <v>4.6900000569999998</v>
      </c>
      <c r="L1148" s="2">
        <v>0</v>
      </c>
      <c r="M1148" s="2">
        <v>64</v>
      </c>
      <c r="N1148" s="2">
        <v>1</v>
      </c>
      <c r="O1148" s="2">
        <v>227</v>
      </c>
      <c r="P1148" s="2">
        <v>1148</v>
      </c>
      <c r="Q1148" s="2">
        <f t="shared" si="92"/>
        <v>292</v>
      </c>
      <c r="R1148" s="2">
        <f t="shared" si="90"/>
        <v>1440</v>
      </c>
      <c r="S1148" t="str">
        <f t="shared" si="89"/>
        <v>Highly Active</v>
      </c>
      <c r="T1148" s="2">
        <v>3455</v>
      </c>
    </row>
    <row r="1149" spans="1:20" x14ac:dyDescent="0.25">
      <c r="A1149" s="2">
        <v>8877689391</v>
      </c>
      <c r="B1149" s="3">
        <v>42485</v>
      </c>
      <c r="C1149" t="str">
        <f t="shared" si="91"/>
        <v>Monday</v>
      </c>
      <c r="D1149" t="str">
        <f t="shared" si="88"/>
        <v>Weekday</v>
      </c>
      <c r="E1149" s="2">
        <v>12986</v>
      </c>
      <c r="F1149" s="2">
        <v>8.7399997710000008</v>
      </c>
      <c r="G1149" s="2">
        <v>8.7399997710000008</v>
      </c>
      <c r="H1149" s="2">
        <v>0</v>
      </c>
      <c r="I1149" s="2">
        <v>2.369999886</v>
      </c>
      <c r="J1149" s="2">
        <v>7.0000000000000007E-2</v>
      </c>
      <c r="K1149" s="2">
        <v>6.2699999809999998</v>
      </c>
      <c r="L1149" s="2">
        <v>0.01</v>
      </c>
      <c r="M1149" s="2">
        <v>113</v>
      </c>
      <c r="N1149" s="2">
        <v>8</v>
      </c>
      <c r="O1149" s="2">
        <v>218</v>
      </c>
      <c r="P1149" s="2">
        <v>1101</v>
      </c>
      <c r="Q1149" s="2">
        <f t="shared" si="92"/>
        <v>339</v>
      </c>
      <c r="R1149" s="2">
        <f t="shared" si="90"/>
        <v>1440</v>
      </c>
      <c r="S1149" t="str">
        <f t="shared" si="89"/>
        <v>Highly Active</v>
      </c>
      <c r="T1149" s="2">
        <v>3802</v>
      </c>
    </row>
    <row r="1150" spans="1:20" x14ac:dyDescent="0.25">
      <c r="A1150" s="2">
        <v>8877689391</v>
      </c>
      <c r="B1150" s="3">
        <v>42486</v>
      </c>
      <c r="C1150" t="str">
        <f t="shared" si="91"/>
        <v>Tuesday</v>
      </c>
      <c r="D1150" t="str">
        <f t="shared" si="88"/>
        <v>Weekday</v>
      </c>
      <c r="E1150" s="2">
        <v>11101</v>
      </c>
      <c r="F1150" s="2">
        <v>8.4300003050000001</v>
      </c>
      <c r="G1150" s="2">
        <v>8.4300003050000001</v>
      </c>
      <c r="H1150" s="2">
        <v>0</v>
      </c>
      <c r="I1150" s="2">
        <v>1.7599999900000001</v>
      </c>
      <c r="J1150" s="2">
        <v>0.12999999500000001</v>
      </c>
      <c r="K1150" s="2">
        <v>6.5</v>
      </c>
      <c r="L1150" s="2">
        <v>0</v>
      </c>
      <c r="M1150" s="2">
        <v>22</v>
      </c>
      <c r="N1150" s="2">
        <v>3</v>
      </c>
      <c r="O1150" s="2">
        <v>258</v>
      </c>
      <c r="P1150" s="2">
        <v>1157</v>
      </c>
      <c r="Q1150" s="2">
        <f t="shared" si="92"/>
        <v>283</v>
      </c>
      <c r="R1150" s="2">
        <f t="shared" si="90"/>
        <v>1440</v>
      </c>
      <c r="S1150" t="str">
        <f t="shared" si="89"/>
        <v>Highly Active</v>
      </c>
      <c r="T1150" s="2">
        <v>2860</v>
      </c>
    </row>
    <row r="1151" spans="1:20" x14ac:dyDescent="0.25">
      <c r="A1151" s="2">
        <v>8877689391</v>
      </c>
      <c r="B1151" s="3">
        <v>42487</v>
      </c>
      <c r="C1151" t="str">
        <f t="shared" si="91"/>
        <v>Wednesday</v>
      </c>
      <c r="D1151" t="str">
        <f t="shared" si="88"/>
        <v>Weekday</v>
      </c>
      <c r="E1151" s="2">
        <v>23629</v>
      </c>
      <c r="F1151" s="2">
        <v>20.649999619999999</v>
      </c>
      <c r="G1151" s="2">
        <v>20.649999619999999</v>
      </c>
      <c r="H1151" s="2">
        <v>0</v>
      </c>
      <c r="I1151" s="2">
        <v>13.06999969</v>
      </c>
      <c r="J1151" s="2">
        <v>0.439999998</v>
      </c>
      <c r="K1151" s="2">
        <v>7.0999999049999998</v>
      </c>
      <c r="L1151" s="2">
        <v>0</v>
      </c>
      <c r="M1151" s="2">
        <v>93</v>
      </c>
      <c r="N1151" s="2">
        <v>8</v>
      </c>
      <c r="O1151" s="2">
        <v>235</v>
      </c>
      <c r="P1151" s="2">
        <v>1104</v>
      </c>
      <c r="Q1151" s="2">
        <f t="shared" si="92"/>
        <v>336</v>
      </c>
      <c r="R1151" s="2">
        <f t="shared" si="90"/>
        <v>1440</v>
      </c>
      <c r="S1151" t="str">
        <f t="shared" si="89"/>
        <v>Highly Active</v>
      </c>
      <c r="T1151" s="2">
        <v>3808</v>
      </c>
    </row>
    <row r="1152" spans="1:20" x14ac:dyDescent="0.25">
      <c r="A1152" s="2">
        <v>8877689391</v>
      </c>
      <c r="B1152" s="3">
        <v>42488</v>
      </c>
      <c r="C1152" t="str">
        <f t="shared" si="91"/>
        <v>Thursday</v>
      </c>
      <c r="D1152" t="str">
        <f t="shared" si="88"/>
        <v>Weekday</v>
      </c>
      <c r="E1152" s="2">
        <v>14890</v>
      </c>
      <c r="F1152" s="2">
        <v>11.30000019</v>
      </c>
      <c r="G1152" s="2">
        <v>11.30000019</v>
      </c>
      <c r="H1152" s="2">
        <v>0</v>
      </c>
      <c r="I1152" s="2">
        <v>4.9299998279999997</v>
      </c>
      <c r="J1152" s="2">
        <v>0.37999999499999998</v>
      </c>
      <c r="K1152" s="2">
        <v>5.9699997900000001</v>
      </c>
      <c r="L1152" s="2">
        <v>0</v>
      </c>
      <c r="M1152" s="2">
        <v>58</v>
      </c>
      <c r="N1152" s="2">
        <v>8</v>
      </c>
      <c r="O1152" s="2">
        <v>231</v>
      </c>
      <c r="P1152" s="2">
        <v>1143</v>
      </c>
      <c r="Q1152" s="2">
        <f t="shared" si="92"/>
        <v>297</v>
      </c>
      <c r="R1152" s="2">
        <f t="shared" si="90"/>
        <v>1440</v>
      </c>
      <c r="S1152" t="str">
        <f t="shared" si="89"/>
        <v>Highly Active</v>
      </c>
      <c r="T1152" s="2">
        <v>3060</v>
      </c>
    </row>
    <row r="1153" spans="1:20" x14ac:dyDescent="0.25">
      <c r="A1153" s="2">
        <v>8877689391</v>
      </c>
      <c r="B1153" s="3">
        <v>42489</v>
      </c>
      <c r="C1153" t="str">
        <f t="shared" si="91"/>
        <v>Friday</v>
      </c>
      <c r="D1153" t="str">
        <f t="shared" si="88"/>
        <v>Weekday</v>
      </c>
      <c r="E1153" s="2">
        <v>9733</v>
      </c>
      <c r="F1153" s="2">
        <v>7.3899998660000001</v>
      </c>
      <c r="G1153" s="2">
        <v>7.3899998660000001</v>
      </c>
      <c r="H1153" s="2">
        <v>0</v>
      </c>
      <c r="I1153" s="2">
        <v>1.3799999949999999</v>
      </c>
      <c r="J1153" s="2">
        <v>0.17000000200000001</v>
      </c>
      <c r="K1153" s="2">
        <v>5.7899999619999996</v>
      </c>
      <c r="L1153" s="2">
        <v>0</v>
      </c>
      <c r="M1153" s="2">
        <v>18</v>
      </c>
      <c r="N1153" s="2">
        <v>5</v>
      </c>
      <c r="O1153" s="2">
        <v>210</v>
      </c>
      <c r="P1153" s="2">
        <v>1207</v>
      </c>
      <c r="Q1153" s="2">
        <f t="shared" si="92"/>
        <v>233</v>
      </c>
      <c r="R1153" s="2">
        <f t="shared" si="90"/>
        <v>1440</v>
      </c>
      <c r="S1153" t="str">
        <f t="shared" si="89"/>
        <v>Fairly Active</v>
      </c>
      <c r="T1153" s="2">
        <v>2698</v>
      </c>
    </row>
    <row r="1154" spans="1:20" x14ac:dyDescent="0.25">
      <c r="A1154" s="2">
        <v>8877689391</v>
      </c>
      <c r="B1154" s="3">
        <v>42490</v>
      </c>
      <c r="C1154" t="str">
        <f t="shared" si="91"/>
        <v>Saturday</v>
      </c>
      <c r="D1154" t="str">
        <f t="shared" si="88"/>
        <v>Weekend</v>
      </c>
      <c r="E1154" s="2">
        <v>27745</v>
      </c>
      <c r="F1154" s="2">
        <v>26.719999309999999</v>
      </c>
      <c r="G1154" s="2">
        <v>26.719999309999999</v>
      </c>
      <c r="H1154" s="2">
        <v>0</v>
      </c>
      <c r="I1154" s="2">
        <v>21.659999849999998</v>
      </c>
      <c r="J1154" s="2">
        <v>7.9999998000000003E-2</v>
      </c>
      <c r="K1154" s="2">
        <v>4.9299998279999997</v>
      </c>
      <c r="L1154" s="2">
        <v>0</v>
      </c>
      <c r="M1154" s="2">
        <v>124</v>
      </c>
      <c r="N1154" s="2">
        <v>4</v>
      </c>
      <c r="O1154" s="2">
        <v>223</v>
      </c>
      <c r="P1154" s="2">
        <v>1089</v>
      </c>
      <c r="Q1154" s="2">
        <f t="shared" si="92"/>
        <v>351</v>
      </c>
      <c r="R1154" s="2">
        <f t="shared" si="90"/>
        <v>1440</v>
      </c>
      <c r="S1154" t="str">
        <f t="shared" si="89"/>
        <v>Highly Active</v>
      </c>
      <c r="T1154" s="2">
        <v>4398</v>
      </c>
    </row>
    <row r="1155" spans="1:20" x14ac:dyDescent="0.25">
      <c r="A1155" s="2">
        <v>8877689391</v>
      </c>
      <c r="B1155" s="3">
        <v>42491</v>
      </c>
      <c r="C1155" t="str">
        <f t="shared" si="91"/>
        <v>Sunday</v>
      </c>
      <c r="D1155" t="str">
        <f t="shared" ref="D1155:D1166" si="93">IF(OR(C1155="Saturday", C1155="Sunday"), "Weekend", "Weekday")</f>
        <v>Weekend</v>
      </c>
      <c r="E1155" s="2">
        <v>10930</v>
      </c>
      <c r="F1155" s="2">
        <v>8.3199996949999999</v>
      </c>
      <c r="G1155" s="2">
        <v>8.3199996949999999</v>
      </c>
      <c r="H1155" s="2">
        <v>0</v>
      </c>
      <c r="I1155" s="2">
        <v>3.130000114</v>
      </c>
      <c r="J1155" s="2">
        <v>0.56999999300000004</v>
      </c>
      <c r="K1155" s="2">
        <v>4.5700001720000003</v>
      </c>
      <c r="L1155" s="2">
        <v>0</v>
      </c>
      <c r="M1155" s="2">
        <v>36</v>
      </c>
      <c r="N1155" s="2">
        <v>12</v>
      </c>
      <c r="O1155" s="2">
        <v>166</v>
      </c>
      <c r="P1155" s="2">
        <v>1226</v>
      </c>
      <c r="Q1155" s="2">
        <f t="shared" si="92"/>
        <v>214</v>
      </c>
      <c r="R1155" s="2">
        <f t="shared" si="90"/>
        <v>1440</v>
      </c>
      <c r="S1155" t="str">
        <f t="shared" ref="S1155:S1166" si="94">IF(E1155&lt;5000, "Sedentary", IF(E1155&lt;7500, "Lightly Active", IF(E1155&lt;10000, "Fairly Active", "Highly Active")))</f>
        <v>Highly Active</v>
      </c>
      <c r="T1155" s="2">
        <v>2786</v>
      </c>
    </row>
    <row r="1156" spans="1:20" x14ac:dyDescent="0.25">
      <c r="A1156" s="2">
        <v>8877689391</v>
      </c>
      <c r="B1156" s="3">
        <v>42492</v>
      </c>
      <c r="C1156" t="str">
        <f t="shared" si="91"/>
        <v>Monday</v>
      </c>
      <c r="D1156" t="str">
        <f t="shared" si="93"/>
        <v>Weekday</v>
      </c>
      <c r="E1156" s="2">
        <v>4790</v>
      </c>
      <c r="F1156" s="2">
        <v>3.6400001049999999</v>
      </c>
      <c r="G1156" s="2">
        <v>3.6400001049999999</v>
      </c>
      <c r="H1156" s="2">
        <v>0</v>
      </c>
      <c r="I1156" s="2">
        <v>0</v>
      </c>
      <c r="J1156" s="2">
        <v>0</v>
      </c>
      <c r="K1156" s="2">
        <v>3.5599999430000002</v>
      </c>
      <c r="L1156" s="2">
        <v>0</v>
      </c>
      <c r="M1156" s="2">
        <v>0</v>
      </c>
      <c r="N1156" s="2">
        <v>0</v>
      </c>
      <c r="O1156" s="2">
        <v>105</v>
      </c>
      <c r="P1156" s="2">
        <v>1335</v>
      </c>
      <c r="Q1156" s="2">
        <f t="shared" si="92"/>
        <v>105</v>
      </c>
      <c r="R1156" s="2">
        <f t="shared" si="90"/>
        <v>1440</v>
      </c>
      <c r="S1156" t="str">
        <f t="shared" si="94"/>
        <v>Sedentary</v>
      </c>
      <c r="T1156" s="2">
        <v>2189</v>
      </c>
    </row>
    <row r="1157" spans="1:20" x14ac:dyDescent="0.25">
      <c r="A1157" s="2">
        <v>8877689391</v>
      </c>
      <c r="B1157" s="3">
        <v>42493</v>
      </c>
      <c r="C1157" t="str">
        <f t="shared" si="91"/>
        <v>Tuesday</v>
      </c>
      <c r="D1157" t="str">
        <f t="shared" si="93"/>
        <v>Weekday</v>
      </c>
      <c r="E1157" s="2">
        <v>10818</v>
      </c>
      <c r="F1157" s="2">
        <v>8.2100000380000004</v>
      </c>
      <c r="G1157" s="2">
        <v>8.2100000380000004</v>
      </c>
      <c r="H1157" s="2">
        <v>0</v>
      </c>
      <c r="I1157" s="2">
        <v>1.3899999860000001</v>
      </c>
      <c r="J1157" s="2">
        <v>0.10000000100000001</v>
      </c>
      <c r="K1157" s="2">
        <v>6.670000076</v>
      </c>
      <c r="L1157" s="2">
        <v>0.01</v>
      </c>
      <c r="M1157" s="2">
        <v>19</v>
      </c>
      <c r="N1157" s="2">
        <v>3</v>
      </c>
      <c r="O1157" s="2">
        <v>229</v>
      </c>
      <c r="P1157" s="2">
        <v>1189</v>
      </c>
      <c r="Q1157" s="2">
        <f t="shared" si="92"/>
        <v>251</v>
      </c>
      <c r="R1157" s="2">
        <f t="shared" si="90"/>
        <v>1440</v>
      </c>
      <c r="S1157" t="str">
        <f t="shared" si="94"/>
        <v>Highly Active</v>
      </c>
      <c r="T1157" s="2">
        <v>2817</v>
      </c>
    </row>
    <row r="1158" spans="1:20" x14ac:dyDescent="0.25">
      <c r="A1158" s="2">
        <v>8877689391</v>
      </c>
      <c r="B1158" s="3">
        <v>42494</v>
      </c>
      <c r="C1158" t="str">
        <f t="shared" si="91"/>
        <v>Wednesday</v>
      </c>
      <c r="D1158" t="str">
        <f t="shared" si="93"/>
        <v>Weekday</v>
      </c>
      <c r="E1158" s="2">
        <v>18193</v>
      </c>
      <c r="F1158" s="2">
        <v>16.299999239999998</v>
      </c>
      <c r="G1158" s="2">
        <v>16.299999239999998</v>
      </c>
      <c r="H1158" s="2">
        <v>0</v>
      </c>
      <c r="I1158" s="2">
        <v>10.420000079999999</v>
      </c>
      <c r="J1158" s="2">
        <v>0.310000002</v>
      </c>
      <c r="K1158" s="2">
        <v>5.5300002099999999</v>
      </c>
      <c r="L1158" s="2">
        <v>0</v>
      </c>
      <c r="M1158" s="2">
        <v>66</v>
      </c>
      <c r="N1158" s="2">
        <v>8</v>
      </c>
      <c r="O1158" s="2">
        <v>212</v>
      </c>
      <c r="P1158" s="2">
        <v>1154</v>
      </c>
      <c r="Q1158" s="2">
        <f t="shared" si="92"/>
        <v>286</v>
      </c>
      <c r="R1158" s="2">
        <f t="shared" si="90"/>
        <v>1440</v>
      </c>
      <c r="S1158" t="str">
        <f t="shared" si="94"/>
        <v>Highly Active</v>
      </c>
      <c r="T1158" s="2">
        <v>3477</v>
      </c>
    </row>
    <row r="1159" spans="1:20" x14ac:dyDescent="0.25">
      <c r="A1159" s="2">
        <v>8877689391</v>
      </c>
      <c r="B1159" s="3">
        <v>42495</v>
      </c>
      <c r="C1159" t="str">
        <f t="shared" si="91"/>
        <v>Thursday</v>
      </c>
      <c r="D1159" t="str">
        <f t="shared" si="93"/>
        <v>Weekday</v>
      </c>
      <c r="E1159" s="2">
        <v>14055</v>
      </c>
      <c r="F1159" s="2">
        <v>10.670000079999999</v>
      </c>
      <c r="G1159" s="2">
        <v>10.670000079999999</v>
      </c>
      <c r="H1159" s="2">
        <v>0</v>
      </c>
      <c r="I1159" s="2">
        <v>5.4600000380000004</v>
      </c>
      <c r="J1159" s="2">
        <v>0.81999999300000004</v>
      </c>
      <c r="K1159" s="2">
        <v>4.3699998860000004</v>
      </c>
      <c r="L1159" s="2">
        <v>0</v>
      </c>
      <c r="M1159" s="2">
        <v>67</v>
      </c>
      <c r="N1159" s="2">
        <v>15</v>
      </c>
      <c r="O1159" s="2">
        <v>188</v>
      </c>
      <c r="P1159" s="2">
        <v>1170</v>
      </c>
      <c r="Q1159" s="2">
        <f t="shared" si="92"/>
        <v>270</v>
      </c>
      <c r="R1159" s="2">
        <f t="shared" si="90"/>
        <v>1440</v>
      </c>
      <c r="S1159" t="str">
        <f t="shared" si="94"/>
        <v>Highly Active</v>
      </c>
      <c r="T1159" s="2">
        <v>3052</v>
      </c>
    </row>
    <row r="1160" spans="1:20" x14ac:dyDescent="0.25">
      <c r="A1160" s="2">
        <v>8877689391</v>
      </c>
      <c r="B1160" s="3">
        <v>42496</v>
      </c>
      <c r="C1160" t="str">
        <f t="shared" si="91"/>
        <v>Friday</v>
      </c>
      <c r="D1160" t="str">
        <f t="shared" si="93"/>
        <v>Weekday</v>
      </c>
      <c r="E1160" s="2">
        <v>21727</v>
      </c>
      <c r="F1160" s="2">
        <v>19.340000150000002</v>
      </c>
      <c r="G1160" s="2">
        <v>19.340000150000002</v>
      </c>
      <c r="H1160" s="2">
        <v>0</v>
      </c>
      <c r="I1160" s="2">
        <v>12.789999959999999</v>
      </c>
      <c r="J1160" s="2">
        <v>0.28999999199999998</v>
      </c>
      <c r="K1160" s="2">
        <v>6.1599998469999999</v>
      </c>
      <c r="L1160" s="2">
        <v>0</v>
      </c>
      <c r="M1160" s="2">
        <v>96</v>
      </c>
      <c r="N1160" s="2">
        <v>17</v>
      </c>
      <c r="O1160" s="2">
        <v>232</v>
      </c>
      <c r="P1160" s="2">
        <v>1095</v>
      </c>
      <c r="Q1160" s="2">
        <f t="shared" si="92"/>
        <v>345</v>
      </c>
      <c r="R1160" s="2">
        <f t="shared" si="90"/>
        <v>1440</v>
      </c>
      <c r="S1160" t="str">
        <f t="shared" si="94"/>
        <v>Highly Active</v>
      </c>
      <c r="T1160" s="2">
        <v>4015</v>
      </c>
    </row>
    <row r="1161" spans="1:20" x14ac:dyDescent="0.25">
      <c r="A1161" s="2">
        <v>8877689391</v>
      </c>
      <c r="B1161" s="3">
        <v>42497</v>
      </c>
      <c r="C1161" t="str">
        <f t="shared" si="91"/>
        <v>Saturday</v>
      </c>
      <c r="D1161" t="str">
        <f t="shared" si="93"/>
        <v>Weekend</v>
      </c>
      <c r="E1161" s="2">
        <v>12332</v>
      </c>
      <c r="F1161" s="2">
        <v>8.1300001139999996</v>
      </c>
      <c r="G1161" s="2">
        <v>8.1300001139999996</v>
      </c>
      <c r="H1161" s="2">
        <v>0</v>
      </c>
      <c r="I1161" s="2">
        <v>7.9999998000000003E-2</v>
      </c>
      <c r="J1161" s="2">
        <v>0.959999979</v>
      </c>
      <c r="K1161" s="2">
        <v>6.9899997709999999</v>
      </c>
      <c r="L1161" s="2">
        <v>0</v>
      </c>
      <c r="M1161" s="2">
        <v>105</v>
      </c>
      <c r="N1161" s="2">
        <v>28</v>
      </c>
      <c r="O1161" s="2">
        <v>271</v>
      </c>
      <c r="P1161" s="2">
        <v>1036</v>
      </c>
      <c r="Q1161" s="2">
        <f t="shared" si="92"/>
        <v>404</v>
      </c>
      <c r="R1161" s="2">
        <f t="shared" si="90"/>
        <v>1440</v>
      </c>
      <c r="S1161" t="str">
        <f t="shared" si="94"/>
        <v>Highly Active</v>
      </c>
      <c r="T1161" s="2">
        <v>4142</v>
      </c>
    </row>
    <row r="1162" spans="1:20" x14ac:dyDescent="0.25">
      <c r="A1162" s="2">
        <v>8877689391</v>
      </c>
      <c r="B1162" s="3">
        <v>42498</v>
      </c>
      <c r="C1162" t="str">
        <f t="shared" si="91"/>
        <v>Sunday</v>
      </c>
      <c r="D1162" t="str">
        <f t="shared" si="93"/>
        <v>Weekend</v>
      </c>
      <c r="E1162" s="2">
        <v>10686</v>
      </c>
      <c r="F1162" s="2">
        <v>8.1099996569999995</v>
      </c>
      <c r="G1162" s="2">
        <v>8.1099996569999995</v>
      </c>
      <c r="H1162" s="2">
        <v>0</v>
      </c>
      <c r="I1162" s="2">
        <v>1.0800000430000001</v>
      </c>
      <c r="J1162" s="2">
        <v>0.20000000300000001</v>
      </c>
      <c r="K1162" s="2">
        <v>6.8000001909999996</v>
      </c>
      <c r="L1162" s="2">
        <v>0</v>
      </c>
      <c r="M1162" s="2">
        <v>17</v>
      </c>
      <c r="N1162" s="2">
        <v>4</v>
      </c>
      <c r="O1162" s="2">
        <v>245</v>
      </c>
      <c r="P1162" s="2">
        <v>1174</v>
      </c>
      <c r="Q1162" s="2">
        <f t="shared" si="92"/>
        <v>266</v>
      </c>
      <c r="R1162" s="2">
        <f t="shared" si="90"/>
        <v>1440</v>
      </c>
      <c r="S1162" t="str">
        <f t="shared" si="94"/>
        <v>Highly Active</v>
      </c>
      <c r="T1162" s="2">
        <v>2847</v>
      </c>
    </row>
    <row r="1163" spans="1:20" x14ac:dyDescent="0.25">
      <c r="A1163" s="2">
        <v>8877689391</v>
      </c>
      <c r="B1163" s="3">
        <v>42499</v>
      </c>
      <c r="C1163" t="str">
        <f t="shared" si="91"/>
        <v>Monday</v>
      </c>
      <c r="D1163" t="str">
        <f t="shared" si="93"/>
        <v>Weekday</v>
      </c>
      <c r="E1163" s="2">
        <v>20226</v>
      </c>
      <c r="F1163" s="2">
        <v>18.25</v>
      </c>
      <c r="G1163" s="2">
        <v>18.25</v>
      </c>
      <c r="H1163" s="2">
        <v>0</v>
      </c>
      <c r="I1163" s="2">
        <v>11.100000380000001</v>
      </c>
      <c r="J1163" s="2">
        <v>0.80000001200000004</v>
      </c>
      <c r="K1163" s="2">
        <v>6.2399997709999999</v>
      </c>
      <c r="L1163" s="2">
        <v>5.0000001000000002E-2</v>
      </c>
      <c r="M1163" s="2">
        <v>73</v>
      </c>
      <c r="N1163" s="2">
        <v>19</v>
      </c>
      <c r="O1163" s="2">
        <v>217</v>
      </c>
      <c r="P1163" s="2">
        <v>1131</v>
      </c>
      <c r="Q1163" s="2">
        <f t="shared" si="92"/>
        <v>309</v>
      </c>
      <c r="R1163" s="2">
        <f t="shared" si="90"/>
        <v>1440</v>
      </c>
      <c r="S1163" t="str">
        <f t="shared" si="94"/>
        <v>Highly Active</v>
      </c>
      <c r="T1163" s="2">
        <v>3710</v>
      </c>
    </row>
    <row r="1164" spans="1:20" x14ac:dyDescent="0.25">
      <c r="A1164" s="2">
        <v>8877689391</v>
      </c>
      <c r="B1164" s="3">
        <v>42500</v>
      </c>
      <c r="C1164" t="str">
        <f t="shared" si="91"/>
        <v>Tuesday</v>
      </c>
      <c r="D1164" t="str">
        <f t="shared" si="93"/>
        <v>Weekday</v>
      </c>
      <c r="E1164" s="2">
        <v>10733</v>
      </c>
      <c r="F1164" s="2">
        <v>8.1499996190000008</v>
      </c>
      <c r="G1164" s="2">
        <v>8.1499996190000008</v>
      </c>
      <c r="H1164" s="2">
        <v>0</v>
      </c>
      <c r="I1164" s="2">
        <v>1.3500000240000001</v>
      </c>
      <c r="J1164" s="2">
        <v>0.46000000800000002</v>
      </c>
      <c r="K1164" s="2">
        <v>6.2800002099999999</v>
      </c>
      <c r="L1164" s="2">
        <v>0</v>
      </c>
      <c r="M1164" s="2">
        <v>18</v>
      </c>
      <c r="N1164" s="2">
        <v>11</v>
      </c>
      <c r="O1164" s="2">
        <v>224</v>
      </c>
      <c r="P1164" s="2">
        <v>1187</v>
      </c>
      <c r="Q1164" s="2">
        <f t="shared" si="92"/>
        <v>253</v>
      </c>
      <c r="R1164" s="2">
        <f t="shared" si="90"/>
        <v>1440</v>
      </c>
      <c r="S1164" t="str">
        <f t="shared" si="94"/>
        <v>Highly Active</v>
      </c>
      <c r="T1164" s="2">
        <v>2832</v>
      </c>
    </row>
    <row r="1165" spans="1:20" x14ac:dyDescent="0.25">
      <c r="A1165" s="2">
        <v>8877689391</v>
      </c>
      <c r="B1165" s="3">
        <v>42501</v>
      </c>
      <c r="C1165" t="str">
        <f t="shared" si="91"/>
        <v>Wednesday</v>
      </c>
      <c r="D1165" t="str">
        <f t="shared" si="93"/>
        <v>Weekday</v>
      </c>
      <c r="E1165" s="2">
        <v>21420</v>
      </c>
      <c r="F1165" s="2">
        <v>19.559999470000001</v>
      </c>
      <c r="G1165" s="2">
        <v>19.559999470000001</v>
      </c>
      <c r="H1165" s="2">
        <v>0</v>
      </c>
      <c r="I1165" s="2">
        <v>13.22000027</v>
      </c>
      <c r="J1165" s="2">
        <v>0.40999999599999998</v>
      </c>
      <c r="K1165" s="2">
        <v>5.8899998660000001</v>
      </c>
      <c r="L1165" s="2">
        <v>0</v>
      </c>
      <c r="M1165" s="2">
        <v>88</v>
      </c>
      <c r="N1165" s="2">
        <v>12</v>
      </c>
      <c r="O1165" s="2">
        <v>213</v>
      </c>
      <c r="P1165" s="2">
        <v>1127</v>
      </c>
      <c r="Q1165" s="2">
        <f t="shared" si="92"/>
        <v>313</v>
      </c>
      <c r="R1165" s="2">
        <f t="shared" si="90"/>
        <v>1440</v>
      </c>
      <c r="S1165" t="str">
        <f t="shared" si="94"/>
        <v>Highly Active</v>
      </c>
      <c r="T1165" s="2">
        <v>3832</v>
      </c>
    </row>
    <row r="1166" spans="1:20" x14ac:dyDescent="0.25">
      <c r="A1166" s="2">
        <v>8877689391</v>
      </c>
      <c r="B1166" s="3">
        <v>42502</v>
      </c>
      <c r="C1166" t="str">
        <f t="shared" si="91"/>
        <v>Thursday</v>
      </c>
      <c r="D1166" t="str">
        <f t="shared" si="93"/>
        <v>Weekday</v>
      </c>
      <c r="E1166" s="2">
        <v>8064</v>
      </c>
      <c r="F1166" s="2">
        <v>6.1199998860000004</v>
      </c>
      <c r="G1166" s="2">
        <v>6.1199998860000004</v>
      </c>
      <c r="H1166" s="2">
        <v>0</v>
      </c>
      <c r="I1166" s="2">
        <v>1.8200000519999999</v>
      </c>
      <c r="J1166" s="2">
        <v>3.9999999000000001E-2</v>
      </c>
      <c r="K1166" s="2">
        <v>4.25</v>
      </c>
      <c r="L1166" s="2">
        <v>0</v>
      </c>
      <c r="M1166" s="2">
        <v>23</v>
      </c>
      <c r="N1166" s="2">
        <v>1</v>
      </c>
      <c r="O1166" s="2">
        <v>137</v>
      </c>
      <c r="P1166" s="2">
        <v>770</v>
      </c>
      <c r="Q1166" s="2">
        <f t="shared" si="92"/>
        <v>161</v>
      </c>
      <c r="R1166" s="2">
        <f t="shared" ref="R1166" si="95">SUM(M1166:P1166)</f>
        <v>931</v>
      </c>
      <c r="S1166" t="str">
        <f t="shared" si="94"/>
        <v>Fairly Active</v>
      </c>
      <c r="T1166" s="2">
        <v>1849</v>
      </c>
    </row>
  </sheetData>
  <autoFilter ref="A1:T1166" xr:uid="{BFB8BB5F-F894-4C01-9F43-72078AA084A5}"/>
  <sortState xmlns:xlrd2="http://schemas.microsoft.com/office/spreadsheetml/2017/richdata2" ref="A2:T1166">
    <sortCondition ref="A2:A1166"/>
    <sortCondition ref="B2:B1166"/>
  </sortState>
  <conditionalFormatting sqref="D2:D1166">
    <cfRule type="cellIs" dxfId="0" priority="1" operator="equal">
      <formula>"Weekend"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B16AB-9075-45A6-ABFD-7D507C08E065}">
  <dimension ref="A3:D4"/>
  <sheetViews>
    <sheetView workbookViewId="0">
      <selection activeCell="A3" sqref="A3"/>
    </sheetView>
  </sheetViews>
  <sheetFormatPr defaultRowHeight="15" x14ac:dyDescent="0.25"/>
  <cols>
    <col min="1" max="1" width="20.7109375" bestFit="1" customWidth="1"/>
    <col min="2" max="2" width="18.7109375" bestFit="1" customWidth="1"/>
    <col min="3" max="3" width="30" bestFit="1" customWidth="1"/>
    <col min="4" max="4" width="27.85546875" bestFit="1" customWidth="1"/>
  </cols>
  <sheetData>
    <row r="3" spans="1:4" x14ac:dyDescent="0.25">
      <c r="A3" t="s">
        <v>20</v>
      </c>
      <c r="B3" t="s">
        <v>21</v>
      </c>
      <c r="C3" t="s">
        <v>22</v>
      </c>
      <c r="D3" t="s">
        <v>23</v>
      </c>
    </row>
    <row r="4" spans="1:4" x14ac:dyDescent="0.25">
      <c r="A4" s="4">
        <v>8391.5545064377675</v>
      </c>
      <c r="B4" s="4">
        <v>2376.8789699570816</v>
      </c>
      <c r="C4" s="4">
        <v>254.07553648068671</v>
      </c>
      <c r="D4" s="4">
        <v>954.64034334763949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3ED9A-1CD6-47BE-B853-246E5C3ADBFA}">
  <dimension ref="A3:C8"/>
  <sheetViews>
    <sheetView workbookViewId="0">
      <selection activeCell="D28" sqref="D28"/>
    </sheetView>
  </sheetViews>
  <sheetFormatPr defaultRowHeight="15" x14ac:dyDescent="0.25"/>
  <cols>
    <col min="1" max="1" width="13.42578125" bestFit="1" customWidth="1"/>
    <col min="2" max="2" width="18.7109375" bestFit="1" customWidth="1"/>
    <col min="3" max="3" width="30" bestFit="1" customWidth="1"/>
    <col min="4" max="4" width="11" bestFit="1" customWidth="1"/>
  </cols>
  <sheetData>
    <row r="3" spans="1:3" x14ac:dyDescent="0.25">
      <c r="A3" s="5" t="s">
        <v>24</v>
      </c>
      <c r="B3" t="s">
        <v>21</v>
      </c>
      <c r="C3" t="s">
        <v>22</v>
      </c>
    </row>
    <row r="4" spans="1:3" x14ac:dyDescent="0.25">
      <c r="A4" s="2" t="s">
        <v>28</v>
      </c>
      <c r="B4" s="6">
        <v>1911.8443708609273</v>
      </c>
      <c r="C4" s="4">
        <v>137.81456953642385</v>
      </c>
    </row>
    <row r="5" spans="1:3" x14ac:dyDescent="0.25">
      <c r="A5" s="2" t="s">
        <v>27</v>
      </c>
      <c r="B5" s="6">
        <v>2264.4504132231405</v>
      </c>
      <c r="C5" s="4">
        <v>251.08677685950414</v>
      </c>
    </row>
    <row r="6" spans="1:3" x14ac:dyDescent="0.25">
      <c r="A6" s="2" t="s">
        <v>25</v>
      </c>
      <c r="B6" s="6">
        <v>2500.544117647059</v>
      </c>
      <c r="C6" s="4">
        <v>294.67156862745099</v>
      </c>
    </row>
    <row r="7" spans="1:3" x14ac:dyDescent="0.25">
      <c r="A7" s="2" t="s">
        <v>26</v>
      </c>
      <c r="B7" s="6">
        <v>2718.4148681055158</v>
      </c>
      <c r="C7" s="4">
        <v>320.14868105515586</v>
      </c>
    </row>
    <row r="8" spans="1:3" x14ac:dyDescent="0.25">
      <c r="A8" s="2" t="s">
        <v>29</v>
      </c>
      <c r="B8" s="6">
        <v>2376.8789699570816</v>
      </c>
      <c r="C8" s="4">
        <v>254.07553648068671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B3BE0-6AE4-4786-A29C-C6B92F027D9A}">
  <dimension ref="A3:B8"/>
  <sheetViews>
    <sheetView tabSelected="1" workbookViewId="0">
      <selection activeCell="O8" sqref="O8"/>
    </sheetView>
  </sheetViews>
  <sheetFormatPr defaultRowHeight="15" x14ac:dyDescent="0.25"/>
  <cols>
    <col min="1" max="1" width="13.42578125" bestFit="1" customWidth="1"/>
    <col min="2" max="2" width="11" bestFit="1" customWidth="1"/>
  </cols>
  <sheetData>
    <row r="3" spans="1:2" x14ac:dyDescent="0.25">
      <c r="A3" s="5" t="s">
        <v>24</v>
      </c>
      <c r="B3" t="s">
        <v>30</v>
      </c>
    </row>
    <row r="4" spans="1:2" x14ac:dyDescent="0.25">
      <c r="A4" s="2" t="s">
        <v>28</v>
      </c>
      <c r="B4" s="7">
        <v>302</v>
      </c>
    </row>
    <row r="5" spans="1:2" x14ac:dyDescent="0.25">
      <c r="A5" s="2" t="s">
        <v>27</v>
      </c>
      <c r="B5" s="7">
        <v>242</v>
      </c>
    </row>
    <row r="6" spans="1:2" x14ac:dyDescent="0.25">
      <c r="A6" s="2" t="s">
        <v>25</v>
      </c>
      <c r="B6" s="7">
        <v>204</v>
      </c>
    </row>
    <row r="7" spans="1:2" x14ac:dyDescent="0.25">
      <c r="A7" s="2" t="s">
        <v>26</v>
      </c>
      <c r="B7" s="7">
        <v>417</v>
      </c>
    </row>
    <row r="8" spans="1:2" x14ac:dyDescent="0.25">
      <c r="A8" s="2" t="s">
        <v>29</v>
      </c>
      <c r="B8" s="7">
        <v>1165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4CD25-FD68-4839-AA61-75EFD88AFFAC}">
  <dimension ref="A3:D6"/>
  <sheetViews>
    <sheetView workbookViewId="0">
      <selection activeCell="E15" sqref="E15"/>
    </sheetView>
  </sheetViews>
  <sheetFormatPr defaultRowHeight="15" x14ac:dyDescent="0.25"/>
  <cols>
    <col min="1" max="1" width="13.42578125" bestFit="1" customWidth="1"/>
    <col min="2" max="2" width="20.7109375" bestFit="1" customWidth="1"/>
    <col min="3" max="3" width="30" bestFit="1" customWidth="1"/>
    <col min="4" max="4" width="27.85546875" bestFit="1" customWidth="1"/>
  </cols>
  <sheetData>
    <row r="3" spans="1:4" x14ac:dyDescent="0.25">
      <c r="A3" s="5" t="s">
        <v>24</v>
      </c>
      <c r="B3" t="s">
        <v>20</v>
      </c>
      <c r="C3" t="s">
        <v>22</v>
      </c>
      <c r="D3" t="s">
        <v>23</v>
      </c>
    </row>
    <row r="4" spans="1:4" x14ac:dyDescent="0.25">
      <c r="A4" s="2" t="s">
        <v>32</v>
      </c>
      <c r="B4" s="6">
        <v>8324.996996996997</v>
      </c>
      <c r="C4" s="4">
        <v>255.54654654654655</v>
      </c>
      <c r="D4" s="4">
        <v>931.99099099099101</v>
      </c>
    </row>
    <row r="5" spans="1:4" x14ac:dyDescent="0.25">
      <c r="A5" s="2" t="s">
        <v>31</v>
      </c>
      <c r="B5" s="6">
        <v>8418.1935096153848</v>
      </c>
      <c r="C5" s="4">
        <v>253.48677884615384</v>
      </c>
      <c r="D5" s="4">
        <v>963.70552884615381</v>
      </c>
    </row>
    <row r="6" spans="1:4" x14ac:dyDescent="0.25">
      <c r="A6" s="2" t="s">
        <v>29</v>
      </c>
      <c r="B6" s="6">
        <v>8391.5545064377675</v>
      </c>
      <c r="C6" s="4">
        <v>254.07553648068671</v>
      </c>
      <c r="D6" s="4">
        <v>954.64034334763949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Fitness_Data</vt:lpstr>
      <vt:lpstr>Descriptive_Stats</vt:lpstr>
      <vt:lpstr>Activity_Level_Breakdown</vt:lpstr>
      <vt:lpstr>Distribution</vt:lpstr>
      <vt:lpstr>Weekend_vs_Weekday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Giannis Boutzounis</dc:creator>
  <cp:lastModifiedBy>Giannis Boutzounis</cp:lastModifiedBy>
  <dcterms:created xsi:type="dcterms:W3CDTF">2026-09-22T15:13:57Z</dcterms:created>
  <dcterms:modified xsi:type="dcterms:W3CDTF">2026-09-24T14:14:18Z</dcterms:modified>
</cp:coreProperties>
</file>